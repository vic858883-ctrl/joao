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84266980666ca9c/Desktop/teste/"/>
    </mc:Choice>
  </mc:AlternateContent>
  <xr:revisionPtr revIDLastSave="0" documentId="8_{94502FF0-1764-4AED-9A3D-107CC50E98A0}" xr6:coauthVersionLast="47" xr6:coauthVersionMax="47" xr10:uidLastSave="{00000000-0000-0000-0000-000000000000}"/>
  <bookViews>
    <workbookView xWindow="-108" yWindow="-108" windowWidth="23256" windowHeight="12456" activeTab="3" xr2:uid="{C136A1C3-C963-4124-B951-EFD46A911C7B}"/>
  </bookViews>
  <sheets>
    <sheet name="CANOPUS" sheetId="1" r:id="rId1"/>
    <sheet name="BNI" sheetId="5" r:id="rId2"/>
    <sheet name="HS" sheetId="2" r:id="rId3"/>
    <sheet name="DISAL" sheetId="3" r:id="rId4"/>
    <sheet name="parcerias" sheetId="4" r:id="rId5"/>
    <sheet name="target" sheetId="6" r:id="rId6"/>
    <sheet name="cr7 vendas" sheetId="8" r:id="rId7"/>
    <sheet name="Planilha1" sheetId="9" r:id="rId8"/>
  </sheets>
  <definedNames>
    <definedName name="_xlnm._FilterDatabase" localSheetId="0" hidden="1">CANOPUS!$A$3:$M$37</definedName>
    <definedName name="_xlnm._FilterDatabase" localSheetId="3" hidden="1">DISAL!$C$4:$M$34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8" l="1"/>
  <c r="I32" i="3"/>
  <c r="I33" i="3"/>
  <c r="G33" i="3"/>
  <c r="I31" i="3"/>
  <c r="I30" i="3"/>
  <c r="U12" i="8"/>
  <c r="K22" i="8"/>
  <c r="I42" i="1"/>
  <c r="I41" i="1"/>
  <c r="G43" i="1"/>
  <c r="I39" i="1"/>
  <c r="I20" i="2" l="1"/>
  <c r="I21" i="2" s="1"/>
  <c r="I19" i="2"/>
  <c r="I29" i="3"/>
  <c r="C3" i="9"/>
  <c r="B3" i="9"/>
  <c r="B2" i="9"/>
  <c r="I28" i="3" l="1"/>
  <c r="P34" i="3" l="1"/>
  <c r="I27" i="3"/>
  <c r="P11" i="8"/>
  <c r="I36" i="1"/>
  <c r="I35" i="1"/>
  <c r="I26" i="3"/>
  <c r="I18" i="2"/>
  <c r="I9" i="5" l="1"/>
  <c r="G40" i="3"/>
  <c r="I19" i="3"/>
  <c r="I25" i="3"/>
  <c r="I24" i="3"/>
  <c r="D13" i="8"/>
  <c r="I17" i="2"/>
  <c r="I23" i="3"/>
  <c r="I22" i="3"/>
  <c r="I21" i="3"/>
  <c r="N12" i="6"/>
  <c r="N13" i="6" s="1"/>
  <c r="K6" i="6"/>
  <c r="K9" i="6"/>
  <c r="N11" i="6"/>
  <c r="N6" i="6"/>
  <c r="B14" i="4"/>
  <c r="I40" i="1"/>
  <c r="I15" i="2"/>
  <c r="I14" i="2"/>
  <c r="P17" i="3" l="1"/>
  <c r="P16" i="3"/>
  <c r="H25" i="6"/>
  <c r="D10" i="6"/>
  <c r="K10" i="6"/>
  <c r="L20" i="6"/>
  <c r="G11" i="6"/>
  <c r="E20" i="6"/>
  <c r="H27" i="6" s="1"/>
  <c r="Q8" i="2"/>
  <c r="P9" i="3"/>
  <c r="P11" i="3" s="1"/>
  <c r="I7" i="5"/>
  <c r="I20" i="3"/>
  <c r="I18" i="3"/>
  <c r="I17" i="3"/>
  <c r="I16" i="3"/>
  <c r="I15" i="3"/>
  <c r="D24" i="4"/>
  <c r="D26" i="4"/>
  <c r="I38" i="1"/>
  <c r="I26" i="1"/>
  <c r="I27" i="1"/>
  <c r="I28" i="1"/>
  <c r="I29" i="1"/>
  <c r="I30" i="1"/>
  <c r="I31" i="1"/>
  <c r="I32" i="1"/>
  <c r="I33" i="1"/>
  <c r="I34" i="1"/>
  <c r="I20" i="1"/>
  <c r="I21" i="1"/>
  <c r="I22" i="1"/>
  <c r="I23" i="1"/>
  <c r="I24" i="1"/>
  <c r="I17" i="1"/>
  <c r="I18" i="1"/>
  <c r="I14" i="3"/>
  <c r="I6" i="5"/>
  <c r="I16" i="2"/>
  <c r="I12" i="3"/>
  <c r="I13" i="2"/>
  <c r="I13" i="3"/>
  <c r="D14" i="4"/>
  <c r="I12" i="2"/>
  <c r="I11" i="3"/>
  <c r="I6" i="3"/>
  <c r="I7" i="3"/>
  <c r="I8" i="3"/>
  <c r="I9" i="3"/>
  <c r="I10" i="3"/>
  <c r="I5" i="3"/>
  <c r="G22" i="2"/>
  <c r="I11" i="2"/>
  <c r="I37" i="1"/>
  <c r="I10" i="2"/>
  <c r="I6" i="2"/>
  <c r="I7" i="2"/>
  <c r="I8" i="2"/>
  <c r="I9" i="2"/>
  <c r="I14" i="1"/>
  <c r="I13" i="1"/>
  <c r="I12" i="1"/>
  <c r="I11" i="1"/>
  <c r="I7" i="1"/>
  <c r="I8" i="1"/>
  <c r="I19" i="1"/>
  <c r="I9" i="1"/>
  <c r="I10" i="1"/>
  <c r="I25" i="1"/>
  <c r="I6" i="1"/>
  <c r="I43" i="1" l="1"/>
  <c r="N15" i="6"/>
  <c r="L17" i="6" s="1"/>
  <c r="G15" i="6"/>
  <c r="E17" i="6" s="1"/>
</calcChain>
</file>

<file path=xl/sharedStrings.xml><?xml version="1.0" encoding="utf-8"?>
<sst xmlns="http://schemas.openxmlformats.org/spreadsheetml/2006/main" count="371" uniqueCount="210">
  <si>
    <t>Data da Venda</t>
  </si>
  <si>
    <t>Vendedor</t>
  </si>
  <si>
    <t>Nº de Cotas</t>
  </si>
  <si>
    <t>Nº do Grupo</t>
  </si>
  <si>
    <t>Valor do Crédito</t>
  </si>
  <si>
    <t>% Comissão</t>
  </si>
  <si>
    <t>Valor da Comissão</t>
  </si>
  <si>
    <t>Nº da Parcela</t>
  </si>
  <si>
    <t>Data de Nascimento</t>
  </si>
  <si>
    <t>Cliente</t>
  </si>
  <si>
    <t>Sergio</t>
  </si>
  <si>
    <t>1998-00</t>
  </si>
  <si>
    <t>Maria Dos santos</t>
  </si>
  <si>
    <t>748-3</t>
  </si>
  <si>
    <t xml:space="preserve">Isabela Rodrigues </t>
  </si>
  <si>
    <t>505-1</t>
  </si>
  <si>
    <t>Larissa Cristina</t>
  </si>
  <si>
    <t>565-1</t>
  </si>
  <si>
    <t xml:space="preserve">Alam de almeida satos </t>
  </si>
  <si>
    <t>859-1</t>
  </si>
  <si>
    <t>Lucas Carvalho Siqueira carvalho</t>
  </si>
  <si>
    <t xml:space="preserve">Vanessa Maedona da silva </t>
  </si>
  <si>
    <t xml:space="preserve">Daniel Melgar de Moraes </t>
  </si>
  <si>
    <t>Marciel Novaes dos Santos</t>
  </si>
  <si>
    <t>Thaissa Henielle</t>
  </si>
  <si>
    <t>Rosana Galdina</t>
  </si>
  <si>
    <t>Marcio Rogério</t>
  </si>
  <si>
    <t>André Luis Melo</t>
  </si>
  <si>
    <t xml:space="preserve">Silverio Eduardo </t>
  </si>
  <si>
    <t>Elaine Gonçalves</t>
  </si>
  <si>
    <t>Romilson Amparo</t>
  </si>
  <si>
    <t xml:space="preserve">Ariston </t>
  </si>
  <si>
    <t xml:space="preserve">Gabriela Pereira </t>
  </si>
  <si>
    <t>Vanessa maedonado da silva</t>
  </si>
  <si>
    <t>Andreia Cardoso da silva</t>
  </si>
  <si>
    <t>Valteir Nonato de araujo</t>
  </si>
  <si>
    <t>Wemerson Diego</t>
  </si>
  <si>
    <t>Daniela Fernanda</t>
  </si>
  <si>
    <t>449-1</t>
  </si>
  <si>
    <t>Rodrigo dos santos Ferreira</t>
  </si>
  <si>
    <t xml:space="preserve">Vania Aparecido </t>
  </si>
  <si>
    <t xml:space="preserve">Lucas Carvalho </t>
  </si>
  <si>
    <t>TOTAL</t>
  </si>
  <si>
    <t>Marcilene da costa</t>
  </si>
  <si>
    <t>Tatiane da silva pereira</t>
  </si>
  <si>
    <t>adrieli barrera</t>
  </si>
  <si>
    <t>leidiomar</t>
  </si>
  <si>
    <t>manoel gomes</t>
  </si>
  <si>
    <t xml:space="preserve">boleto do mês/ situação </t>
  </si>
  <si>
    <t>boleto situação</t>
  </si>
  <si>
    <t xml:space="preserve">parou  de pagar </t>
  </si>
  <si>
    <t>parou de pagar</t>
  </si>
  <si>
    <t xml:space="preserve">cancelado </t>
  </si>
  <si>
    <t>sergio</t>
  </si>
  <si>
    <t>00/01/1900</t>
  </si>
  <si>
    <t xml:space="preserve">Vinicios Vidal </t>
  </si>
  <si>
    <t>cancelou</t>
  </si>
  <si>
    <t>NATALIM APARECIDO CORTEZ</t>
  </si>
  <si>
    <t xml:space="preserve">ANA CLARA DE OLIVEIRA </t>
  </si>
  <si>
    <t xml:space="preserve">ANA PAULA DIAS </t>
  </si>
  <si>
    <t>ELAINE GONCALVES NUNES</t>
  </si>
  <si>
    <t xml:space="preserve">TOTAL </t>
  </si>
  <si>
    <t> ANDREIA CARDOSO DA SILVA</t>
  </si>
  <si>
    <t>SIVANEI JOSE</t>
  </si>
  <si>
    <t>pago</t>
  </si>
  <si>
    <t xml:space="preserve">CONSTR LRC </t>
  </si>
  <si>
    <t xml:space="preserve">CRISTIANO ALVES MARQUES </t>
  </si>
  <si>
    <t>GLAUCIENE SANTOS COSTAS</t>
  </si>
  <si>
    <t>Glauciene</t>
  </si>
  <si>
    <t>0092</t>
  </si>
  <si>
    <t>0161</t>
  </si>
  <si>
    <t>1331</t>
  </si>
  <si>
    <t>themistocles</t>
  </si>
  <si>
    <t>0270</t>
  </si>
  <si>
    <t>0221</t>
  </si>
  <si>
    <t>0084</t>
  </si>
  <si>
    <t>0210</t>
  </si>
  <si>
    <t>0052</t>
  </si>
  <si>
    <t>4529-00</t>
  </si>
  <si>
    <t>0824-00</t>
  </si>
  <si>
    <t>0954-00</t>
  </si>
  <si>
    <t>1460-00</t>
  </si>
  <si>
    <t>0755-00</t>
  </si>
  <si>
    <t>3716-00</t>
  </si>
  <si>
    <t>6797-00</t>
  </si>
  <si>
    <t xml:space="preserve">comissão </t>
  </si>
  <si>
    <t>%</t>
  </si>
  <si>
    <t>total</t>
  </si>
  <si>
    <t>Estorno até a 6° parcelas é 0,50%</t>
  </si>
  <si>
    <t>HUMBERTO CAMPONHOLO</t>
  </si>
  <si>
    <t>332</t>
  </si>
  <si>
    <t>vinicios dos santos paklen</t>
  </si>
  <si>
    <t>andreia cardoso</t>
  </si>
  <si>
    <t>0089</t>
  </si>
  <si>
    <t>DISAL</t>
  </si>
  <si>
    <t xml:space="preserve">antonio </t>
  </si>
  <si>
    <t>leticia neres</t>
  </si>
  <si>
    <t>enviado</t>
  </si>
  <si>
    <t>duas em atraso</t>
  </si>
  <si>
    <t>SIRLEI</t>
  </si>
  <si>
    <t>lucas agencia de viagem</t>
  </si>
  <si>
    <t>ADM</t>
  </si>
  <si>
    <t>hs</t>
  </si>
  <si>
    <t>total de vendas</t>
  </si>
  <si>
    <t>meta para o bni para cobrir o gasto total HS</t>
  </si>
  <si>
    <t>meta para o bni para cobrir o gasto total disal</t>
  </si>
  <si>
    <t>JORGE</t>
  </si>
  <si>
    <t>ROSE</t>
  </si>
  <si>
    <t>rose</t>
  </si>
  <si>
    <t>Fabricio</t>
  </si>
  <si>
    <t>joao jose</t>
  </si>
  <si>
    <t>MARIA JOSE</t>
  </si>
  <si>
    <t>MIKAELA</t>
  </si>
  <si>
    <t>OSIR</t>
  </si>
  <si>
    <t>cancelado</t>
  </si>
  <si>
    <t>canopus</t>
  </si>
  <si>
    <t>Fagner</t>
  </si>
  <si>
    <t>recebido</t>
  </si>
  <si>
    <t>recebido dia 19</t>
  </si>
  <si>
    <t>recebido dia 12</t>
  </si>
  <si>
    <t>recebido dia 20/10</t>
  </si>
  <si>
    <t>Data de vencimento</t>
  </si>
  <si>
    <t>total disal</t>
  </si>
  <si>
    <t xml:space="preserve">paga online </t>
  </si>
  <si>
    <t>paga somente no fim do mês</t>
  </si>
  <si>
    <t>vence dia 20</t>
  </si>
  <si>
    <t xml:space="preserve">pagou a ultima </t>
  </si>
  <si>
    <t>em caixa</t>
  </si>
  <si>
    <t>disal</t>
  </si>
  <si>
    <t>imposto</t>
  </si>
  <si>
    <t>mercado</t>
  </si>
  <si>
    <t>target</t>
  </si>
  <si>
    <t>liquido</t>
  </si>
  <si>
    <t>liquido pos target</t>
  </si>
  <si>
    <t>investido</t>
  </si>
  <si>
    <t>contas de casa</t>
  </si>
  <si>
    <t>REALIDADE DA EMPRESA AGORA</t>
  </si>
  <si>
    <t>PREVISAO FUTURA</t>
  </si>
  <si>
    <t>target financeiro</t>
  </si>
  <si>
    <t>target atual</t>
  </si>
  <si>
    <t xml:space="preserve">target faltante </t>
  </si>
  <si>
    <t xml:space="preserve">canous </t>
  </si>
  <si>
    <t>cartão</t>
  </si>
  <si>
    <t>contador</t>
  </si>
  <si>
    <t>bni</t>
  </si>
  <si>
    <t>Silvani</t>
  </si>
  <si>
    <t>espaço viana</t>
  </si>
  <si>
    <t>enviar boleto</t>
  </si>
  <si>
    <t>25</t>
  </si>
  <si>
    <t>mateus da silva</t>
  </si>
  <si>
    <t>DATA</t>
  </si>
  <si>
    <t>VALOR</t>
  </si>
  <si>
    <t>COTA</t>
  </si>
  <si>
    <t>GRUPO</t>
  </si>
  <si>
    <t>COMISSÃO</t>
  </si>
  <si>
    <t>salario</t>
  </si>
  <si>
    <t>Gean dos santos</t>
  </si>
  <si>
    <t>Joel</t>
  </si>
  <si>
    <t>Estorno até a 6° parcelas é 1%</t>
  </si>
  <si>
    <t>Daniela costa</t>
  </si>
  <si>
    <t>online</t>
  </si>
  <si>
    <t>luana do nascimento - CR7</t>
  </si>
  <si>
    <t>HS</t>
  </si>
  <si>
    <t xml:space="preserve">lucas </t>
  </si>
  <si>
    <t>renato</t>
  </si>
  <si>
    <t>recebido em 02-/2026</t>
  </si>
  <si>
    <t>giovanna</t>
  </si>
  <si>
    <t>sthefany</t>
  </si>
  <si>
    <t>laiane</t>
  </si>
  <si>
    <t>cr7</t>
  </si>
  <si>
    <t>paga online</t>
  </si>
  <si>
    <t>vence dia 10</t>
  </si>
  <si>
    <t>thiago</t>
  </si>
  <si>
    <t>luana</t>
  </si>
  <si>
    <t>dulce</t>
  </si>
  <si>
    <t>joabi</t>
  </si>
  <si>
    <t>dulce maria da silva - cr7</t>
  </si>
  <si>
    <t>thiago farias da silva - cr7</t>
  </si>
  <si>
    <t>cleber</t>
  </si>
  <si>
    <t>cleber - CR7</t>
  </si>
  <si>
    <t>vendas cr7</t>
  </si>
  <si>
    <t xml:space="preserve">valor </t>
  </si>
  <si>
    <t>data</t>
  </si>
  <si>
    <t>1º comissão</t>
  </si>
  <si>
    <t>não pago</t>
  </si>
  <si>
    <t>Ano/Mês</t>
  </si>
  <si>
    <t>Entrada</t>
  </si>
  <si>
    <t>Saída</t>
  </si>
  <si>
    <t>thiago henrique - rose</t>
  </si>
  <si>
    <t>regiane</t>
  </si>
  <si>
    <t>rosana goldino</t>
  </si>
  <si>
    <t>hosana pereira</t>
  </si>
  <si>
    <t>Estorno até a 8° parcela é 1,20%</t>
  </si>
  <si>
    <t>Estorno até a 6° parcela é 0,80%</t>
  </si>
  <si>
    <t>Comtemplação</t>
  </si>
  <si>
    <t>Estorno até a 8° parcela é 0,75%</t>
  </si>
  <si>
    <t>GRANCI</t>
  </si>
  <si>
    <t>LENY</t>
  </si>
  <si>
    <t>SILVANI</t>
  </si>
  <si>
    <t>beatriz</t>
  </si>
  <si>
    <t>camila</t>
  </si>
  <si>
    <t>joenilson - cr7</t>
  </si>
  <si>
    <t xml:space="preserve">joenilson </t>
  </si>
  <si>
    <t>MESES</t>
  </si>
  <si>
    <t>não recebemos mais comissão pela venda</t>
  </si>
  <si>
    <t>atrasado</t>
  </si>
  <si>
    <t>cancelou ( estorno de 1,5%)</t>
  </si>
  <si>
    <t>vamos ganhar em cima do parceiro</t>
  </si>
  <si>
    <t>não paga</t>
  </si>
  <si>
    <t>hs consorcio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</si>
</sst>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7"/>
      <color rgb="FF000000"/>
      <name val="Verdana"/>
      <family val="2"/>
    </font>
    <font>
      <sz val="11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7"/>
      <color rgb="FF000000"/>
      <name val="Arial"/>
      <family val="2"/>
    </font>
    <font>
      <sz val="11"/>
      <color theme="1" tint="4.9989318521683403E-2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9">
    <xf numFmtId="0" fontId="0" fillId="0" borderId="0" xfId="0"/>
    <xf numFmtId="14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8" fontId="0" fillId="0" borderId="1" xfId="0" applyNumberFormat="1" applyBorder="1" applyAlignment="1">
      <alignment vertical="center" wrapText="1"/>
    </xf>
    <xf numFmtId="9" fontId="0" fillId="0" borderId="1" xfId="0" applyNumberForma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1" fillId="2" borderId="2" xfId="0" applyFont="1" applyFill="1" applyBorder="1" applyAlignment="1">
      <alignment horizontal="center" vertical="center" wrapText="1"/>
    </xf>
    <xf numFmtId="14" fontId="0" fillId="4" borderId="1" xfId="0" applyNumberForma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8" fontId="0" fillId="4" borderId="1" xfId="0" applyNumberFormat="1" applyFill="1" applyBorder="1" applyAlignment="1">
      <alignment vertical="center" wrapText="1"/>
    </xf>
    <xf numFmtId="9" fontId="0" fillId="4" borderId="1" xfId="0" applyNumberFormat="1" applyFill="1" applyBorder="1" applyAlignment="1">
      <alignment vertical="center" wrapText="1"/>
    </xf>
    <xf numFmtId="0" fontId="0" fillId="4" borderId="1" xfId="0" applyFill="1" applyBorder="1" applyAlignment="1">
      <alignment vertical="top" wrapText="1"/>
    </xf>
    <xf numFmtId="14" fontId="0" fillId="5" borderId="1" xfId="0" applyNumberFormat="1" applyFill="1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8" fontId="0" fillId="5" borderId="1" xfId="0" applyNumberFormat="1" applyFill="1" applyBorder="1" applyAlignment="1">
      <alignment vertical="center" wrapText="1"/>
    </xf>
    <xf numFmtId="9" fontId="0" fillId="5" borderId="1" xfId="0" applyNumberFormat="1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0" fontId="0" fillId="5" borderId="1" xfId="0" applyFill="1" applyBorder="1" applyAlignment="1">
      <alignment vertical="top"/>
    </xf>
    <xf numFmtId="0" fontId="0" fillId="5" borderId="1" xfId="0" applyFill="1" applyBorder="1"/>
    <xf numFmtId="0" fontId="0" fillId="4" borderId="1" xfId="0" applyFill="1" applyBorder="1" applyAlignment="1">
      <alignment vertical="top"/>
    </xf>
    <xf numFmtId="0" fontId="0" fillId="4" borderId="1" xfId="0" applyFill="1" applyBorder="1"/>
    <xf numFmtId="0" fontId="0" fillId="5" borderId="0" xfId="0" applyFill="1"/>
    <xf numFmtId="14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8" fontId="0" fillId="6" borderId="1" xfId="0" applyNumberFormat="1" applyFill="1" applyBorder="1" applyAlignment="1">
      <alignment vertical="center" wrapText="1"/>
    </xf>
    <xf numFmtId="9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4" fontId="0" fillId="7" borderId="1" xfId="0" applyNumberFormat="1" applyFill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8" fontId="0" fillId="7" borderId="1" xfId="0" applyNumberFormat="1" applyFill="1" applyBorder="1" applyAlignment="1">
      <alignment vertical="center" wrapText="1"/>
    </xf>
    <xf numFmtId="9" fontId="0" fillId="7" borderId="1" xfId="0" applyNumberFormat="1" applyFill="1" applyBorder="1" applyAlignment="1">
      <alignment vertical="center" wrapText="1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 applyAlignment="1">
      <alignment vertical="top"/>
    </xf>
    <xf numFmtId="14" fontId="0" fillId="7" borderId="0" xfId="0" applyNumberFormat="1" applyFill="1" applyAlignment="1">
      <alignment vertical="center" wrapText="1"/>
    </xf>
    <xf numFmtId="0" fontId="0" fillId="7" borderId="0" xfId="0" applyFill="1"/>
    <xf numFmtId="8" fontId="0" fillId="7" borderId="0" xfId="0" applyNumberFormat="1" applyFill="1" applyAlignment="1">
      <alignment vertical="center" wrapText="1"/>
    </xf>
    <xf numFmtId="9" fontId="0" fillId="7" borderId="0" xfId="0" applyNumberFormat="1" applyFill="1" applyAlignment="1">
      <alignment vertical="center" wrapText="1"/>
    </xf>
    <xf numFmtId="8" fontId="0" fillId="7" borderId="0" xfId="0" applyNumberFormat="1" applyFill="1"/>
    <xf numFmtId="44" fontId="0" fillId="0" borderId="1" xfId="0" applyNumberFormat="1" applyBorder="1" applyAlignment="1">
      <alignment vertical="center" wrapText="1"/>
    </xf>
    <xf numFmtId="0" fontId="4" fillId="0" borderId="0" xfId="0" applyFont="1"/>
    <xf numFmtId="8" fontId="0" fillId="0" borderId="0" xfId="0" applyNumberFormat="1"/>
    <xf numFmtId="0" fontId="3" fillId="5" borderId="1" xfId="0" applyFont="1" applyFill="1" applyBorder="1"/>
    <xf numFmtId="14" fontId="0" fillId="0" borderId="0" xfId="0" applyNumberFormat="1"/>
    <xf numFmtId="49" fontId="1" fillId="2" borderId="1" xfId="0" applyNumberFormat="1" applyFont="1" applyFill="1" applyBorder="1" applyAlignment="1">
      <alignment horizontal="right" vertical="center" wrapText="1"/>
    </xf>
    <xf numFmtId="49" fontId="0" fillId="0" borderId="1" xfId="0" applyNumberFormat="1" applyBorder="1" applyAlignment="1">
      <alignment horizontal="right" vertical="center" wrapText="1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left"/>
    </xf>
    <xf numFmtId="14" fontId="0" fillId="8" borderId="1" xfId="0" applyNumberFormat="1" applyFill="1" applyBorder="1" applyAlignment="1">
      <alignment vertical="center" wrapText="1"/>
    </xf>
    <xf numFmtId="0" fontId="0" fillId="8" borderId="1" xfId="0" applyFill="1" applyBorder="1" applyAlignment="1">
      <alignment vertical="center" wrapText="1"/>
    </xf>
    <xf numFmtId="0" fontId="0" fillId="8" borderId="1" xfId="0" applyFill="1" applyBorder="1" applyAlignment="1">
      <alignment vertical="top" wrapText="1"/>
    </xf>
    <xf numFmtId="0" fontId="0" fillId="8" borderId="0" xfId="0" applyFill="1"/>
    <xf numFmtId="8" fontId="0" fillId="8" borderId="1" xfId="0" applyNumberFormat="1" applyFill="1" applyBorder="1" applyAlignment="1">
      <alignment vertical="center" wrapText="1"/>
    </xf>
    <xf numFmtId="49" fontId="0" fillId="8" borderId="1" xfId="0" applyNumberFormat="1" applyFill="1" applyBorder="1" applyAlignment="1">
      <alignment horizontal="right" vertical="center" wrapText="1"/>
    </xf>
    <xf numFmtId="9" fontId="0" fillId="8" borderId="1" xfId="0" applyNumberFormat="1" applyFill="1" applyBorder="1" applyAlignment="1">
      <alignment vertical="center" wrapText="1"/>
    </xf>
    <xf numFmtId="0" fontId="1" fillId="0" borderId="1" xfId="0" applyFont="1" applyBorder="1"/>
    <xf numFmtId="0" fontId="0" fillId="0" borderId="1" xfId="0" applyBorder="1"/>
    <xf numFmtId="44" fontId="0" fillId="0" borderId="0" xfId="1" applyFont="1"/>
    <xf numFmtId="14" fontId="0" fillId="5" borderId="1" xfId="0" applyNumberFormat="1" applyFill="1" applyBorder="1"/>
    <xf numFmtId="8" fontId="0" fillId="5" borderId="1" xfId="0" applyNumberFormat="1" applyFill="1" applyBorder="1"/>
    <xf numFmtId="44" fontId="0" fillId="0" borderId="1" xfId="1" applyFont="1" applyBorder="1" applyAlignment="1">
      <alignment horizontal="left"/>
    </xf>
    <xf numFmtId="44" fontId="4" fillId="0" borderId="1" xfId="1" applyFont="1" applyBorder="1" applyAlignment="1">
      <alignment horizontal="left"/>
    </xf>
    <xf numFmtId="44" fontId="0" fillId="3" borderId="1" xfId="1" applyFont="1" applyFill="1" applyBorder="1" applyAlignment="1">
      <alignment horizontal="left"/>
    </xf>
    <xf numFmtId="49" fontId="0" fillId="5" borderId="1" xfId="0" applyNumberFormat="1" applyFill="1" applyBorder="1" applyAlignment="1">
      <alignment horizontal="right" vertical="center" wrapText="1"/>
    </xf>
    <xf numFmtId="44" fontId="0" fillId="0" borderId="0" xfId="0" applyNumberFormat="1"/>
    <xf numFmtId="44" fontId="0" fillId="5" borderId="1" xfId="1" applyFont="1" applyFill="1" applyBorder="1" applyAlignment="1">
      <alignment vertical="center" wrapText="1"/>
    </xf>
    <xf numFmtId="10" fontId="0" fillId="5" borderId="1" xfId="0" applyNumberFormat="1" applyFill="1" applyBorder="1"/>
    <xf numFmtId="44" fontId="0" fillId="5" borderId="1" xfId="0" applyNumberFormat="1" applyFill="1" applyBorder="1"/>
    <xf numFmtId="44" fontId="0" fillId="0" borderId="1" xfId="1" applyFont="1" applyBorder="1"/>
    <xf numFmtId="44" fontId="0" fillId="5" borderId="1" xfId="1" applyFont="1" applyFill="1" applyBorder="1"/>
    <xf numFmtId="9" fontId="0" fillId="5" borderId="1" xfId="0" applyNumberFormat="1" applyFill="1" applyBorder="1"/>
    <xf numFmtId="10" fontId="0" fillId="0" borderId="0" xfId="0" applyNumberFormat="1"/>
    <xf numFmtId="0" fontId="0" fillId="6" borderId="0" xfId="0" applyFill="1"/>
    <xf numFmtId="14" fontId="0" fillId="3" borderId="1" xfId="0" applyNumberForma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8" fontId="0" fillId="3" borderId="1" xfId="0" applyNumberFormat="1" applyFill="1" applyBorder="1" applyAlignment="1">
      <alignment vertical="center" wrapText="1"/>
    </xf>
    <xf numFmtId="10" fontId="0" fillId="3" borderId="1" xfId="0" applyNumberFormat="1" applyFill="1" applyBorder="1"/>
    <xf numFmtId="44" fontId="0" fillId="3" borderId="1" xfId="0" applyNumberFormat="1" applyFill="1" applyBorder="1"/>
    <xf numFmtId="0" fontId="0" fillId="3" borderId="1" xfId="0" applyFill="1" applyBorder="1" applyAlignment="1">
      <alignment vertical="top" wrapText="1"/>
    </xf>
    <xf numFmtId="8" fontId="0" fillId="0" borderId="0" xfId="1" applyNumberFormat="1" applyFont="1"/>
    <xf numFmtId="44" fontId="0" fillId="10" borderId="1" xfId="1" applyFont="1" applyFill="1" applyBorder="1"/>
    <xf numFmtId="8" fontId="0" fillId="10" borderId="1" xfId="1" applyNumberFormat="1" applyFont="1" applyFill="1" applyBorder="1"/>
    <xf numFmtId="44" fontId="0" fillId="11" borderId="1" xfId="1" applyFont="1" applyFill="1" applyBorder="1"/>
    <xf numFmtId="8" fontId="0" fillId="11" borderId="1" xfId="1" applyNumberFormat="1" applyFont="1" applyFill="1" applyBorder="1"/>
    <xf numFmtId="44" fontId="4" fillId="0" borderId="0" xfId="1" applyFont="1"/>
    <xf numFmtId="44" fontId="0" fillId="3" borderId="1" xfId="1" applyFont="1" applyFill="1" applyBorder="1" applyAlignment="1">
      <alignment vertical="center" wrapText="1"/>
    </xf>
    <xf numFmtId="0" fontId="0" fillId="6" borderId="1" xfId="0" applyFill="1" applyBorder="1" applyAlignment="1">
      <alignment vertical="top"/>
    </xf>
    <xf numFmtId="10" fontId="0" fillId="6" borderId="1" xfId="0" applyNumberFormat="1" applyFill="1" applyBorder="1"/>
    <xf numFmtId="44" fontId="0" fillId="6" borderId="1" xfId="0" applyNumberFormat="1" applyFill="1" applyBorder="1"/>
    <xf numFmtId="49" fontId="0" fillId="6" borderId="1" xfId="0" applyNumberFormat="1" applyFill="1" applyBorder="1" applyAlignment="1">
      <alignment horizontal="right" vertical="center" wrapText="1"/>
    </xf>
    <xf numFmtId="0" fontId="7" fillId="5" borderId="1" xfId="0" applyFont="1" applyFill="1" applyBorder="1"/>
    <xf numFmtId="9" fontId="0" fillId="0" borderId="0" xfId="0" applyNumberFormat="1"/>
    <xf numFmtId="0" fontId="8" fillId="0" borderId="0" xfId="0" applyFont="1"/>
    <xf numFmtId="44" fontId="0" fillId="0" borderId="1" xfId="0" applyNumberFormat="1" applyBorder="1"/>
    <xf numFmtId="44" fontId="1" fillId="0" borderId="1" xfId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6" borderId="1" xfId="0" applyFill="1" applyBorder="1"/>
    <xf numFmtId="0" fontId="3" fillId="6" borderId="1" xfId="0" applyFont="1" applyFill="1" applyBorder="1"/>
    <xf numFmtId="14" fontId="0" fillId="6" borderId="6" xfId="0" applyNumberFormat="1" applyFill="1" applyBorder="1" applyAlignment="1">
      <alignment vertical="center" wrapText="1"/>
    </xf>
    <xf numFmtId="0" fontId="0" fillId="6" borderId="6" xfId="0" applyFill="1" applyBorder="1" applyAlignment="1">
      <alignment vertical="center" wrapText="1"/>
    </xf>
    <xf numFmtId="8" fontId="0" fillId="6" borderId="6" xfId="0" applyNumberFormat="1" applyFill="1" applyBorder="1" applyAlignment="1">
      <alignment vertical="center" wrapText="1"/>
    </xf>
    <xf numFmtId="9" fontId="0" fillId="6" borderId="6" xfId="0" applyNumberFormat="1" applyFill="1" applyBorder="1" applyAlignment="1">
      <alignment vertical="center" wrapText="1"/>
    </xf>
    <xf numFmtId="0" fontId="0" fillId="6" borderId="6" xfId="0" applyFill="1" applyBorder="1" applyAlignment="1">
      <alignment vertical="top"/>
    </xf>
    <xf numFmtId="14" fontId="0" fillId="0" borderId="1" xfId="0" applyNumberFormat="1" applyBorder="1"/>
    <xf numFmtId="9" fontId="0" fillId="0" borderId="1" xfId="2" applyFont="1" applyBorder="1"/>
    <xf numFmtId="9" fontId="0" fillId="0" borderId="1" xfId="0" applyNumberFormat="1" applyBorder="1"/>
    <xf numFmtId="0" fontId="0" fillId="0" borderId="2" xfId="0" applyBorder="1"/>
    <xf numFmtId="0" fontId="0" fillId="2" borderId="1" xfId="0" applyFill="1" applyBorder="1" applyAlignment="1">
      <alignment horizontal="center" vertical="center"/>
    </xf>
    <xf numFmtId="44" fontId="1" fillId="9" borderId="3" xfId="1" applyFont="1" applyFill="1" applyBorder="1" applyAlignment="1">
      <alignment horizontal="center"/>
    </xf>
    <xf numFmtId="44" fontId="1" fillId="9" borderId="4" xfId="1" applyFont="1" applyFill="1" applyBorder="1" applyAlignment="1">
      <alignment horizontal="center"/>
    </xf>
    <xf numFmtId="44" fontId="0" fillId="11" borderId="5" xfId="1" applyFont="1" applyFill="1" applyBorder="1" applyAlignment="1">
      <alignment horizontal="center"/>
    </xf>
    <xf numFmtId="44" fontId="0" fillId="10" borderId="5" xfId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 Entrada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Planilha1!$A$2:$A$24</c:f>
              <c:numCache>
                <c:formatCode>m/d/yyyy</c:formatCode>
                <c:ptCount val="23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</c:numCache>
            </c:numRef>
          </c:cat>
          <c:val>
            <c:numRef>
              <c:f>Planilha1!$B$2:$B$24</c:f>
              <c:numCache>
                <c:formatCode>_("R$"* #,##0.00_);_("R$"* \(#,##0.00\);_("R$"* "-"??_);_(@_)</c:formatCode>
                <c:ptCount val="23"/>
                <c:pt idx="0">
                  <c:v>10115</c:v>
                </c:pt>
                <c:pt idx="1">
                  <c:v>11516.5</c:v>
                </c:pt>
                <c:pt idx="2">
                  <c:v>9368.33</c:v>
                </c:pt>
                <c:pt idx="3">
                  <c:v>14771.15</c:v>
                </c:pt>
                <c:pt idx="4">
                  <c:v>9470</c:v>
                </c:pt>
                <c:pt idx="5">
                  <c:v>8435</c:v>
                </c:pt>
                <c:pt idx="6">
                  <c:v>9607.24</c:v>
                </c:pt>
                <c:pt idx="7">
                  <c:v>11450.38</c:v>
                </c:pt>
                <c:pt idx="8">
                  <c:v>16871.240000000002</c:v>
                </c:pt>
                <c:pt idx="9">
                  <c:v>13098.63</c:v>
                </c:pt>
                <c:pt idx="10">
                  <c:v>17716.16</c:v>
                </c:pt>
                <c:pt idx="11">
                  <c:v>15855.42</c:v>
                </c:pt>
                <c:pt idx="12">
                  <c:v>15677.21</c:v>
                </c:pt>
                <c:pt idx="13">
                  <c:v>20077</c:v>
                </c:pt>
                <c:pt idx="14">
                  <c:v>21060.21</c:v>
                </c:pt>
                <c:pt idx="15">
                  <c:v>10685</c:v>
                </c:pt>
                <c:pt idx="16">
                  <c:v>19075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3-4B71-B398-9F2961FECC2B}"/>
            </c:ext>
          </c:extLst>
        </c:ser>
        <c:ser>
          <c:idx val="1"/>
          <c:order val="1"/>
          <c:tx>
            <c:strRef>
              <c:f>Planilha1!$C$1</c:f>
              <c:strCache>
                <c:ptCount val="1"/>
                <c:pt idx="0">
                  <c:v> Saída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Planilha1!$A$2:$A$24</c:f>
              <c:numCache>
                <c:formatCode>m/d/yyyy</c:formatCode>
                <c:ptCount val="23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  <c:pt idx="12">
                  <c:v>46023</c:v>
                </c:pt>
                <c:pt idx="13">
                  <c:v>46054</c:v>
                </c:pt>
                <c:pt idx="14">
                  <c:v>46082</c:v>
                </c:pt>
                <c:pt idx="15">
                  <c:v>46113</c:v>
                </c:pt>
                <c:pt idx="16">
                  <c:v>46143</c:v>
                </c:pt>
                <c:pt idx="17">
                  <c:v>46174</c:v>
                </c:pt>
                <c:pt idx="18">
                  <c:v>46204</c:v>
                </c:pt>
                <c:pt idx="19">
                  <c:v>46235</c:v>
                </c:pt>
                <c:pt idx="20">
                  <c:v>46266</c:v>
                </c:pt>
              </c:numCache>
            </c:numRef>
          </c:cat>
          <c:val>
            <c:numRef>
              <c:f>Planilha1!$C$2:$C$24</c:f>
              <c:numCache>
                <c:formatCode>_("R$"* #,##0.00_);_("R$"* \(#,##0.00\);_("R$"* "-"??_);_(@_)</c:formatCode>
                <c:ptCount val="23"/>
                <c:pt idx="0">
                  <c:v>4865.55</c:v>
                </c:pt>
                <c:pt idx="1">
                  <c:v>10079.91</c:v>
                </c:pt>
                <c:pt idx="2">
                  <c:v>9368.33</c:v>
                </c:pt>
                <c:pt idx="3">
                  <c:v>14771.15</c:v>
                </c:pt>
                <c:pt idx="4">
                  <c:v>9470</c:v>
                </c:pt>
                <c:pt idx="5">
                  <c:v>8435</c:v>
                </c:pt>
                <c:pt idx="6">
                  <c:v>9607.24</c:v>
                </c:pt>
                <c:pt idx="7">
                  <c:v>7813.38</c:v>
                </c:pt>
                <c:pt idx="8">
                  <c:v>10508.36</c:v>
                </c:pt>
                <c:pt idx="9">
                  <c:v>13098.63</c:v>
                </c:pt>
                <c:pt idx="10">
                  <c:v>12753.43</c:v>
                </c:pt>
                <c:pt idx="11">
                  <c:v>10000</c:v>
                </c:pt>
                <c:pt idx="12">
                  <c:v>13000</c:v>
                </c:pt>
                <c:pt idx="13">
                  <c:v>15000</c:v>
                </c:pt>
                <c:pt idx="14">
                  <c:v>15000</c:v>
                </c:pt>
                <c:pt idx="15">
                  <c:v>18000</c:v>
                </c:pt>
                <c:pt idx="16">
                  <c:v>8321.93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3-4B71-B398-9F2961F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994272"/>
        <c:axId val="626997632"/>
      </c:barChart>
      <c:dateAx>
        <c:axId val="6269942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97632"/>
        <c:crosses val="autoZero"/>
        <c:auto val="1"/>
        <c:lblOffset val="100"/>
        <c:baseTimeUnit val="months"/>
      </c:dateAx>
      <c:valAx>
        <c:axId val="62699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99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118110</xdr:rowOff>
    </xdr:from>
    <xdr:to>
      <xdr:col>16</xdr:col>
      <xdr:colOff>342900</xdr:colOff>
      <xdr:row>19</xdr:row>
      <xdr:rowOff>7620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AA0ED-97DD-08A6-3774-52B416051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BBCB1DB-F503-4A31-8C15-30EAD3D7372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af51d18-3ac5-4b68-beeb-a13135bf5a9f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38041-1E1E-410E-8432-104BF65B8973}">
  <dimension ref="A3:N43"/>
  <sheetViews>
    <sheetView workbookViewId="0">
      <selection activeCell="M43" sqref="M43"/>
    </sheetView>
  </sheetViews>
  <sheetFormatPr defaultRowHeight="15" customHeight="1" x14ac:dyDescent="0.3"/>
  <cols>
    <col min="2" max="2" width="8.6640625" style="40" customWidth="1"/>
    <col min="3" max="3" width="11.77734375" bestFit="1" customWidth="1"/>
    <col min="4" max="4" width="8.6640625" bestFit="1" customWidth="1"/>
    <col min="5" max="5" width="9.5546875" customWidth="1"/>
    <col min="6" max="6" width="6.109375" bestFit="1" customWidth="1"/>
    <col min="7" max="7" width="14.21875" bestFit="1" customWidth="1"/>
    <col min="8" max="8" width="8.21875" bestFit="1" customWidth="1"/>
    <col min="9" max="9" width="12.5546875" bestFit="1" customWidth="1"/>
    <col min="10" max="10" width="7.33203125" bestFit="1" customWidth="1"/>
    <col min="11" max="11" width="10.33203125" bestFit="1" customWidth="1"/>
    <col min="12" max="12" width="24.33203125" bestFit="1" customWidth="1"/>
    <col min="13" max="13" width="28.33203125" bestFit="1" customWidth="1"/>
  </cols>
  <sheetData>
    <row r="3" spans="2:14" ht="49.95" customHeight="1" x14ac:dyDescent="0.3">
      <c r="C3" s="5" t="s">
        <v>0</v>
      </c>
      <c r="D3" s="5" t="s">
        <v>1</v>
      </c>
      <c r="E3" s="5" t="s">
        <v>2</v>
      </c>
      <c r="F3" s="5" t="s">
        <v>3</v>
      </c>
      <c r="G3" s="5" t="s">
        <v>4</v>
      </c>
      <c r="H3" s="5" t="s">
        <v>5</v>
      </c>
      <c r="I3" s="5" t="s">
        <v>6</v>
      </c>
      <c r="J3" s="5" t="s">
        <v>7</v>
      </c>
      <c r="K3" s="5" t="s">
        <v>8</v>
      </c>
      <c r="L3" s="5" t="s">
        <v>9</v>
      </c>
      <c r="M3" s="7" t="s">
        <v>49</v>
      </c>
    </row>
    <row r="4" spans="2:14" ht="15" customHeight="1" x14ac:dyDescent="0.3">
      <c r="B4"/>
      <c r="C4" s="8"/>
      <c r="D4" s="9"/>
      <c r="E4" s="9"/>
      <c r="F4" s="9"/>
      <c r="G4" s="10"/>
      <c r="H4" s="11"/>
      <c r="I4" s="10"/>
      <c r="J4" s="9"/>
      <c r="K4" s="8"/>
      <c r="L4" s="12"/>
    </row>
    <row r="5" spans="2:14" ht="15" customHeight="1" x14ac:dyDescent="0.3">
      <c r="B5"/>
      <c r="C5" s="8">
        <v>0</v>
      </c>
      <c r="D5" s="9"/>
      <c r="E5" s="9" t="s">
        <v>13</v>
      </c>
      <c r="F5" s="9">
        <v>4109</v>
      </c>
      <c r="G5" s="10">
        <v>0</v>
      </c>
      <c r="H5" s="11">
        <v>0.06</v>
      </c>
      <c r="I5" s="10">
        <v>0</v>
      </c>
      <c r="J5" s="9">
        <v>0</v>
      </c>
      <c r="K5" s="8">
        <v>0</v>
      </c>
      <c r="L5" s="12" t="s">
        <v>14</v>
      </c>
      <c r="M5" t="s">
        <v>51</v>
      </c>
    </row>
    <row r="6" spans="2:14" ht="15" customHeight="1" x14ac:dyDescent="0.3">
      <c r="B6"/>
      <c r="C6" s="8">
        <v>0</v>
      </c>
      <c r="D6" s="9"/>
      <c r="E6" s="9" t="s">
        <v>15</v>
      </c>
      <c r="F6" s="9">
        <v>4206</v>
      </c>
      <c r="G6" s="10">
        <v>17000</v>
      </c>
      <c r="H6" s="11">
        <v>0.06</v>
      </c>
      <c r="I6" s="10">
        <f t="shared" ref="I6:I14" si="0">G6*H6</f>
        <v>1020</v>
      </c>
      <c r="J6" s="9">
        <v>0</v>
      </c>
      <c r="K6" s="8">
        <v>0</v>
      </c>
      <c r="L6" s="12" t="s">
        <v>16</v>
      </c>
      <c r="M6" t="s">
        <v>51</v>
      </c>
    </row>
    <row r="7" spans="2:14" ht="15" customHeight="1" x14ac:dyDescent="0.3">
      <c r="B7"/>
      <c r="C7" s="8">
        <v>0</v>
      </c>
      <c r="D7" s="9"/>
      <c r="E7" s="9" t="s">
        <v>17</v>
      </c>
      <c r="F7" s="9">
        <v>4206</v>
      </c>
      <c r="G7" s="10">
        <v>17000</v>
      </c>
      <c r="H7" s="11">
        <v>0.06</v>
      </c>
      <c r="I7" s="10">
        <f t="shared" si="0"/>
        <v>1020</v>
      </c>
      <c r="J7" s="9">
        <v>0</v>
      </c>
      <c r="K7" s="8">
        <v>0</v>
      </c>
      <c r="L7" s="12" t="s">
        <v>18</v>
      </c>
      <c r="M7" t="s">
        <v>51</v>
      </c>
    </row>
    <row r="8" spans="2:14" ht="15" customHeight="1" x14ac:dyDescent="0.3">
      <c r="B8"/>
      <c r="C8" s="8">
        <v>0</v>
      </c>
      <c r="D8" s="9"/>
      <c r="E8" s="9" t="s">
        <v>19</v>
      </c>
      <c r="F8" s="9">
        <v>4206</v>
      </c>
      <c r="G8" s="10">
        <v>12000</v>
      </c>
      <c r="H8" s="11">
        <v>0.06</v>
      </c>
      <c r="I8" s="10">
        <f t="shared" si="0"/>
        <v>720</v>
      </c>
      <c r="J8" s="9">
        <v>0</v>
      </c>
      <c r="K8" s="8">
        <v>0</v>
      </c>
      <c r="L8" s="12" t="s">
        <v>20</v>
      </c>
      <c r="M8" t="s">
        <v>51</v>
      </c>
    </row>
    <row r="9" spans="2:14" ht="15" customHeight="1" x14ac:dyDescent="0.3">
      <c r="B9"/>
      <c r="C9" s="8">
        <v>0</v>
      </c>
      <c r="D9" s="9"/>
      <c r="E9" s="9">
        <v>1133</v>
      </c>
      <c r="F9" s="9">
        <v>8101</v>
      </c>
      <c r="G9" s="10">
        <v>40000</v>
      </c>
      <c r="H9" s="11">
        <v>0.06</v>
      </c>
      <c r="I9" s="10">
        <f t="shared" si="0"/>
        <v>2400</v>
      </c>
      <c r="J9" s="9">
        <v>0</v>
      </c>
      <c r="K9" s="8">
        <v>0</v>
      </c>
      <c r="L9" s="12" t="s">
        <v>24</v>
      </c>
      <c r="M9" t="s">
        <v>50</v>
      </c>
    </row>
    <row r="10" spans="2:14" ht="15" customHeight="1" x14ac:dyDescent="0.3">
      <c r="B10"/>
      <c r="C10" s="8">
        <v>0</v>
      </c>
      <c r="D10" s="9"/>
      <c r="E10" s="9">
        <v>1832</v>
      </c>
      <c r="F10" s="9">
        <v>8201</v>
      </c>
      <c r="G10" s="10">
        <v>70000</v>
      </c>
      <c r="H10" s="11">
        <v>0.06</v>
      </c>
      <c r="I10" s="10">
        <f t="shared" si="0"/>
        <v>4200</v>
      </c>
      <c r="J10" s="9">
        <v>0</v>
      </c>
      <c r="K10" s="8">
        <v>0</v>
      </c>
      <c r="L10" s="20" t="s">
        <v>30</v>
      </c>
      <c r="M10" t="s">
        <v>52</v>
      </c>
    </row>
    <row r="11" spans="2:14" ht="15" customHeight="1" x14ac:dyDescent="0.3">
      <c r="B11"/>
      <c r="C11" s="8">
        <v>0</v>
      </c>
      <c r="D11" s="21"/>
      <c r="E11" s="21">
        <v>948</v>
      </c>
      <c r="F11" s="21">
        <v>8300</v>
      </c>
      <c r="G11" s="10">
        <v>120000</v>
      </c>
      <c r="H11" s="11">
        <v>0.06</v>
      </c>
      <c r="I11" s="10">
        <f t="shared" si="0"/>
        <v>7200</v>
      </c>
      <c r="J11" s="21">
        <v>0</v>
      </c>
      <c r="K11" s="8">
        <v>0</v>
      </c>
      <c r="L11" s="20" t="s">
        <v>37</v>
      </c>
      <c r="M11" t="s">
        <v>52</v>
      </c>
    </row>
    <row r="12" spans="2:14" ht="15" customHeight="1" x14ac:dyDescent="0.3">
      <c r="B12"/>
      <c r="C12" s="8">
        <v>0</v>
      </c>
      <c r="D12" s="21"/>
      <c r="E12" s="21" t="s">
        <v>38</v>
      </c>
      <c r="F12" s="21">
        <v>9122</v>
      </c>
      <c r="G12" s="10">
        <v>0</v>
      </c>
      <c r="H12" s="11">
        <v>0.06</v>
      </c>
      <c r="I12" s="21">
        <f t="shared" si="0"/>
        <v>0</v>
      </c>
      <c r="J12" s="21">
        <v>0</v>
      </c>
      <c r="K12" s="8">
        <v>0</v>
      </c>
      <c r="L12" s="20" t="s">
        <v>39</v>
      </c>
      <c r="M12" t="s">
        <v>52</v>
      </c>
    </row>
    <row r="13" spans="2:14" ht="15" customHeight="1" x14ac:dyDescent="0.3">
      <c r="B13"/>
      <c r="C13" s="8">
        <v>0</v>
      </c>
      <c r="D13" s="21"/>
      <c r="E13" s="21">
        <v>213</v>
      </c>
      <c r="F13" s="21">
        <v>9123</v>
      </c>
      <c r="G13" s="10">
        <v>41000</v>
      </c>
      <c r="H13" s="11">
        <v>0.06</v>
      </c>
      <c r="I13" s="10">
        <f t="shared" si="0"/>
        <v>2460</v>
      </c>
      <c r="J13" s="21">
        <v>0</v>
      </c>
      <c r="K13" s="8">
        <v>0</v>
      </c>
      <c r="L13" s="20" t="s">
        <v>41</v>
      </c>
      <c r="M13" t="s">
        <v>52</v>
      </c>
    </row>
    <row r="14" spans="2:14" ht="15" customHeight="1" x14ac:dyDescent="0.3">
      <c r="B14"/>
      <c r="C14" s="8">
        <v>0</v>
      </c>
      <c r="D14" s="21"/>
      <c r="E14" s="21">
        <v>557</v>
      </c>
      <c r="F14" s="21">
        <v>9125</v>
      </c>
      <c r="G14" s="10">
        <v>52000</v>
      </c>
      <c r="H14" s="11">
        <v>0.06</v>
      </c>
      <c r="I14" s="10">
        <f t="shared" si="0"/>
        <v>3120</v>
      </c>
      <c r="J14" s="21">
        <v>0</v>
      </c>
      <c r="K14" s="8">
        <v>0</v>
      </c>
      <c r="L14" s="20" t="s">
        <v>41</v>
      </c>
      <c r="M14" t="s">
        <v>52</v>
      </c>
    </row>
    <row r="15" spans="2:14" ht="15" customHeight="1" x14ac:dyDescent="0.3">
      <c r="B15"/>
      <c r="C15" s="28">
        <v>0</v>
      </c>
      <c r="D15" s="29"/>
      <c r="E15" s="29" t="s">
        <v>11</v>
      </c>
      <c r="F15" s="29">
        <v>8200</v>
      </c>
      <c r="G15" s="30">
        <v>100000</v>
      </c>
      <c r="H15" s="31">
        <v>0.06</v>
      </c>
      <c r="I15" s="30">
        <v>6000</v>
      </c>
      <c r="J15" s="29">
        <v>0</v>
      </c>
      <c r="K15" s="28">
        <v>0</v>
      </c>
      <c r="L15" s="32" t="s">
        <v>10</v>
      </c>
      <c r="M15" s="35" t="s">
        <v>56</v>
      </c>
    </row>
    <row r="16" spans="2:14" ht="15" customHeight="1" x14ac:dyDescent="0.3">
      <c r="B16"/>
      <c r="C16" s="13">
        <v>44719</v>
      </c>
      <c r="D16" s="14"/>
      <c r="E16" s="14">
        <v>191</v>
      </c>
      <c r="F16" s="14">
        <v>3102</v>
      </c>
      <c r="G16" s="15">
        <v>19000</v>
      </c>
      <c r="H16" s="16">
        <v>0.06</v>
      </c>
      <c r="I16" s="15">
        <v>1800</v>
      </c>
      <c r="J16" s="14">
        <v>0</v>
      </c>
      <c r="K16" s="13">
        <v>0</v>
      </c>
      <c r="L16" s="17" t="s">
        <v>12</v>
      </c>
      <c r="M16" s="22"/>
      <c r="N16" t="s">
        <v>123</v>
      </c>
    </row>
    <row r="17" spans="1:14" ht="15" customHeight="1" x14ac:dyDescent="0.3">
      <c r="A17" s="40" t="s">
        <v>117</v>
      </c>
      <c r="C17" s="13">
        <v>45596</v>
      </c>
      <c r="D17" s="14"/>
      <c r="E17" s="14">
        <v>3165</v>
      </c>
      <c r="F17" s="14">
        <v>6650</v>
      </c>
      <c r="G17" s="15">
        <v>100000</v>
      </c>
      <c r="H17" s="16">
        <v>0.06</v>
      </c>
      <c r="I17" s="15">
        <f t="shared" ref="I17:I35" si="1">G17*H17</f>
        <v>6000</v>
      </c>
      <c r="J17" s="14">
        <v>15</v>
      </c>
      <c r="K17" s="13">
        <v>0</v>
      </c>
      <c r="L17" s="17" t="s">
        <v>21</v>
      </c>
      <c r="M17" s="22" t="s">
        <v>64</v>
      </c>
    </row>
    <row r="18" spans="1:14" ht="15" customHeight="1" x14ac:dyDescent="0.3">
      <c r="A18" t="s">
        <v>165</v>
      </c>
      <c r="B18"/>
      <c r="C18" s="13">
        <v>45707</v>
      </c>
      <c r="D18" s="14"/>
      <c r="E18" s="14">
        <v>3622</v>
      </c>
      <c r="F18" s="14">
        <v>6650</v>
      </c>
      <c r="G18" s="15">
        <v>200000</v>
      </c>
      <c r="H18" s="16">
        <v>0.06</v>
      </c>
      <c r="I18" s="15">
        <f t="shared" si="1"/>
        <v>12000</v>
      </c>
      <c r="J18" s="14">
        <v>12</v>
      </c>
      <c r="K18" s="13">
        <v>0</v>
      </c>
      <c r="L18" s="17" t="s">
        <v>22</v>
      </c>
      <c r="M18" s="22" t="s">
        <v>64</v>
      </c>
      <c r="N18" t="s">
        <v>123</v>
      </c>
    </row>
    <row r="19" spans="1:14" ht="15" customHeight="1" x14ac:dyDescent="0.3">
      <c r="B19"/>
      <c r="C19" s="23">
        <v>0</v>
      </c>
      <c r="D19" s="24"/>
      <c r="E19" s="24">
        <v>1512</v>
      </c>
      <c r="F19" s="24">
        <v>8100</v>
      </c>
      <c r="G19" s="25">
        <v>30000</v>
      </c>
      <c r="H19" s="26">
        <v>0.06</v>
      </c>
      <c r="I19" s="25">
        <f t="shared" si="1"/>
        <v>1800</v>
      </c>
      <c r="J19" s="24">
        <v>0</v>
      </c>
      <c r="K19" s="23">
        <v>0</v>
      </c>
      <c r="L19" s="27" t="s">
        <v>23</v>
      </c>
      <c r="M19" t="s">
        <v>52</v>
      </c>
    </row>
    <row r="20" spans="1:14" ht="15" customHeight="1" x14ac:dyDescent="0.3">
      <c r="C20" s="13">
        <v>45594</v>
      </c>
      <c r="D20" s="14"/>
      <c r="E20" s="14">
        <v>2807</v>
      </c>
      <c r="F20" s="14">
        <v>8101</v>
      </c>
      <c r="G20" s="15">
        <v>50000</v>
      </c>
      <c r="H20" s="16">
        <v>0.06</v>
      </c>
      <c r="I20" s="15">
        <f t="shared" si="1"/>
        <v>3000</v>
      </c>
      <c r="J20" s="14">
        <v>14</v>
      </c>
      <c r="K20" s="13">
        <v>0</v>
      </c>
      <c r="L20" s="17" t="s">
        <v>25</v>
      </c>
      <c r="N20" t="s">
        <v>124</v>
      </c>
    </row>
    <row r="21" spans="1:14" ht="15" customHeight="1" x14ac:dyDescent="0.3">
      <c r="A21" t="s">
        <v>120</v>
      </c>
      <c r="C21" s="13">
        <v>45599</v>
      </c>
      <c r="D21" s="14"/>
      <c r="E21" s="14">
        <v>1963</v>
      </c>
      <c r="F21" s="14">
        <v>8101</v>
      </c>
      <c r="G21" s="15">
        <v>30000</v>
      </c>
      <c r="H21" s="16">
        <v>0.06</v>
      </c>
      <c r="I21" s="15">
        <f t="shared" si="1"/>
        <v>1800</v>
      </c>
      <c r="J21" s="14">
        <v>15</v>
      </c>
      <c r="K21" s="13">
        <v>0</v>
      </c>
      <c r="L21" s="17" t="s">
        <v>26</v>
      </c>
      <c r="M21" s="22" t="s">
        <v>97</v>
      </c>
    </row>
    <row r="22" spans="1:14" ht="15" customHeight="1" x14ac:dyDescent="0.3">
      <c r="A22" t="s">
        <v>118</v>
      </c>
      <c r="C22" s="13">
        <v>45620</v>
      </c>
      <c r="D22" s="14"/>
      <c r="E22" s="14">
        <v>1266</v>
      </c>
      <c r="F22" s="14">
        <v>8100</v>
      </c>
      <c r="G22" s="15">
        <v>50000</v>
      </c>
      <c r="H22" s="16">
        <v>0.06</v>
      </c>
      <c r="I22" s="15">
        <f t="shared" si="1"/>
        <v>3000</v>
      </c>
      <c r="J22" s="14">
        <v>14</v>
      </c>
      <c r="K22" s="13">
        <v>0</v>
      </c>
      <c r="L22" s="17" t="s">
        <v>27</v>
      </c>
      <c r="M22" s="22"/>
    </row>
    <row r="23" spans="1:14" ht="15" customHeight="1" x14ac:dyDescent="0.3">
      <c r="A23" t="s">
        <v>119</v>
      </c>
      <c r="C23" s="13">
        <v>45623</v>
      </c>
      <c r="D23" s="14"/>
      <c r="E23" s="14">
        <v>1644</v>
      </c>
      <c r="F23" s="14">
        <v>8100</v>
      </c>
      <c r="G23" s="15">
        <v>30000</v>
      </c>
      <c r="H23" s="16">
        <v>0.06</v>
      </c>
      <c r="I23" s="15">
        <f t="shared" si="1"/>
        <v>1800</v>
      </c>
      <c r="J23" s="14">
        <v>14</v>
      </c>
      <c r="K23" s="13">
        <v>0</v>
      </c>
      <c r="L23" s="18" t="s">
        <v>28</v>
      </c>
      <c r="M23" s="22"/>
      <c r="N23" t="s">
        <v>123</v>
      </c>
    </row>
    <row r="24" spans="1:14" ht="15" customHeight="1" x14ac:dyDescent="0.3">
      <c r="B24"/>
      <c r="C24" s="23">
        <v>45685</v>
      </c>
      <c r="D24" s="24"/>
      <c r="E24" s="24">
        <v>2415</v>
      </c>
      <c r="F24" s="24">
        <v>8200</v>
      </c>
      <c r="G24" s="25">
        <v>70000</v>
      </c>
      <c r="H24" s="26">
        <v>0.06</v>
      </c>
      <c r="I24" s="25">
        <f t="shared" si="1"/>
        <v>4200</v>
      </c>
      <c r="J24" s="24">
        <v>0</v>
      </c>
      <c r="K24" s="23">
        <v>0</v>
      </c>
      <c r="L24" s="92" t="s">
        <v>29</v>
      </c>
      <c r="M24" s="78"/>
      <c r="N24" t="s">
        <v>123</v>
      </c>
    </row>
    <row r="25" spans="1:14" ht="15" customHeight="1" x14ac:dyDescent="0.3">
      <c r="B25"/>
      <c r="C25" s="28">
        <v>0</v>
      </c>
      <c r="D25" s="29"/>
      <c r="E25" s="29">
        <v>2265</v>
      </c>
      <c r="F25" s="29">
        <v>8201</v>
      </c>
      <c r="G25" s="30">
        <v>80000</v>
      </c>
      <c r="H25" s="31">
        <v>0.06</v>
      </c>
      <c r="I25" s="30">
        <f t="shared" si="1"/>
        <v>4800</v>
      </c>
      <c r="J25" s="29">
        <v>0</v>
      </c>
      <c r="K25" s="28">
        <v>0</v>
      </c>
      <c r="L25" s="33" t="s">
        <v>31</v>
      </c>
      <c r="M25" t="s">
        <v>51</v>
      </c>
    </row>
    <row r="26" spans="1:14" ht="15" customHeight="1" x14ac:dyDescent="0.3">
      <c r="A26" t="s">
        <v>118</v>
      </c>
      <c r="C26" s="13">
        <v>45624</v>
      </c>
      <c r="D26" s="14"/>
      <c r="E26" s="14">
        <v>1565</v>
      </c>
      <c r="F26" s="14">
        <v>8201</v>
      </c>
      <c r="G26" s="15">
        <v>51000</v>
      </c>
      <c r="H26" s="16">
        <v>0.06</v>
      </c>
      <c r="I26" s="15">
        <f t="shared" si="1"/>
        <v>3060</v>
      </c>
      <c r="J26" s="14">
        <v>14</v>
      </c>
      <c r="K26" s="13">
        <v>0</v>
      </c>
      <c r="L26" s="18" t="s">
        <v>32</v>
      </c>
      <c r="M26" s="22"/>
      <c r="N26" t="s">
        <v>123</v>
      </c>
    </row>
    <row r="27" spans="1:14" ht="15" customHeight="1" x14ac:dyDescent="0.3">
      <c r="C27" s="13">
        <v>45606</v>
      </c>
      <c r="D27" s="14"/>
      <c r="E27" s="14">
        <v>1637</v>
      </c>
      <c r="F27" s="14">
        <v>8300</v>
      </c>
      <c r="G27" s="15">
        <v>120000</v>
      </c>
      <c r="H27" s="16">
        <v>0.06</v>
      </c>
      <c r="I27" s="15">
        <f t="shared" si="1"/>
        <v>7200</v>
      </c>
      <c r="J27" s="14">
        <v>16</v>
      </c>
      <c r="K27" s="13">
        <v>0</v>
      </c>
      <c r="L27" s="18" t="s">
        <v>33</v>
      </c>
      <c r="M27" s="22"/>
      <c r="N27" t="s">
        <v>123</v>
      </c>
    </row>
    <row r="28" spans="1:14" ht="15" customHeight="1" x14ac:dyDescent="0.3">
      <c r="B28"/>
      <c r="C28" s="104">
        <v>45733</v>
      </c>
      <c r="D28" s="105"/>
      <c r="E28" s="105">
        <v>2679</v>
      </c>
      <c r="F28" s="105">
        <v>8300</v>
      </c>
      <c r="G28" s="106">
        <v>101000</v>
      </c>
      <c r="H28" s="107">
        <v>0.06</v>
      </c>
      <c r="I28" s="106">
        <f t="shared" si="1"/>
        <v>6060</v>
      </c>
      <c r="J28" s="105">
        <v>0</v>
      </c>
      <c r="K28" s="104">
        <v>0</v>
      </c>
      <c r="L28" s="108" t="s">
        <v>34</v>
      </c>
      <c r="M28" s="78"/>
    </row>
    <row r="29" spans="1:14" ht="15" customHeight="1" x14ac:dyDescent="0.3">
      <c r="A29" t="s">
        <v>117</v>
      </c>
      <c r="C29" s="13">
        <v>45608</v>
      </c>
      <c r="D29" s="19"/>
      <c r="E29" s="19">
        <v>2551</v>
      </c>
      <c r="F29" s="19">
        <v>8300</v>
      </c>
      <c r="G29" s="15">
        <v>1</v>
      </c>
      <c r="H29" s="16">
        <v>0.06</v>
      </c>
      <c r="I29" s="15">
        <f t="shared" si="1"/>
        <v>0.06</v>
      </c>
      <c r="J29" s="19">
        <v>9</v>
      </c>
      <c r="K29" s="13">
        <v>0</v>
      </c>
      <c r="L29" s="18" t="s">
        <v>35</v>
      </c>
      <c r="M29" s="22" t="s">
        <v>97</v>
      </c>
    </row>
    <row r="30" spans="1:14" ht="15" customHeight="1" x14ac:dyDescent="0.3">
      <c r="B30"/>
      <c r="C30" s="13">
        <v>0</v>
      </c>
      <c r="D30" s="19"/>
      <c r="E30" s="19">
        <v>2589</v>
      </c>
      <c r="F30" s="19">
        <v>8300</v>
      </c>
      <c r="G30" s="15">
        <v>180000</v>
      </c>
      <c r="H30" s="16">
        <v>0.06</v>
      </c>
      <c r="I30" s="15">
        <f t="shared" si="1"/>
        <v>10800</v>
      </c>
      <c r="J30" s="19">
        <v>0</v>
      </c>
      <c r="K30" s="13">
        <v>0</v>
      </c>
      <c r="L30" s="92" t="s">
        <v>36</v>
      </c>
      <c r="N30" t="s">
        <v>114</v>
      </c>
    </row>
    <row r="31" spans="1:14" ht="15" customHeight="1" x14ac:dyDescent="0.3">
      <c r="B31"/>
      <c r="C31" s="23">
        <v>45733</v>
      </c>
      <c r="D31" s="102"/>
      <c r="E31" s="102">
        <v>2644</v>
      </c>
      <c r="F31" s="102">
        <v>8110</v>
      </c>
      <c r="G31" s="25">
        <v>35000</v>
      </c>
      <c r="H31" s="26">
        <v>0.06</v>
      </c>
      <c r="I31" s="25">
        <f t="shared" si="1"/>
        <v>2100</v>
      </c>
      <c r="J31" s="102">
        <v>4</v>
      </c>
      <c r="K31" s="23">
        <v>31002</v>
      </c>
      <c r="L31" s="103" t="s">
        <v>62</v>
      </c>
      <c r="M31" s="78"/>
      <c r="N31" t="s">
        <v>98</v>
      </c>
    </row>
    <row r="32" spans="1:14" ht="15" customHeight="1" x14ac:dyDescent="0.3">
      <c r="B32"/>
      <c r="C32" s="23">
        <v>45777</v>
      </c>
      <c r="D32" s="102"/>
      <c r="E32" s="102">
        <v>1604</v>
      </c>
      <c r="F32" s="102">
        <v>8210</v>
      </c>
      <c r="G32" s="25">
        <v>80000</v>
      </c>
      <c r="H32" s="26">
        <v>0.06</v>
      </c>
      <c r="I32" s="25">
        <f t="shared" si="1"/>
        <v>4800</v>
      </c>
      <c r="J32" s="102">
        <v>9</v>
      </c>
      <c r="K32" s="23"/>
      <c r="L32" s="103" t="s">
        <v>63</v>
      </c>
      <c r="M32" s="78"/>
    </row>
    <row r="33" spans="2:14" ht="15" customHeight="1" x14ac:dyDescent="0.3">
      <c r="B33"/>
      <c r="C33" s="13">
        <v>45729</v>
      </c>
      <c r="D33" s="19"/>
      <c r="E33" s="19">
        <v>70</v>
      </c>
      <c r="F33" s="19">
        <v>4205</v>
      </c>
      <c r="G33" s="15">
        <v>20000</v>
      </c>
      <c r="H33" s="16">
        <v>0.06</v>
      </c>
      <c r="I33" s="71">
        <f t="shared" si="1"/>
        <v>1200</v>
      </c>
      <c r="J33" s="19">
        <v>11</v>
      </c>
      <c r="K33" s="13"/>
      <c r="L33" s="42" t="s">
        <v>95</v>
      </c>
      <c r="M33" s="22"/>
      <c r="N33" t="s">
        <v>160</v>
      </c>
    </row>
    <row r="34" spans="2:14" ht="15" customHeight="1" x14ac:dyDescent="0.3">
      <c r="B34"/>
      <c r="C34" s="13">
        <v>45043</v>
      </c>
      <c r="D34" s="19"/>
      <c r="E34" s="19">
        <v>821</v>
      </c>
      <c r="F34" s="19">
        <v>9123</v>
      </c>
      <c r="G34" s="15">
        <v>36000</v>
      </c>
      <c r="H34" s="16">
        <v>0.06</v>
      </c>
      <c r="I34" s="75">
        <f t="shared" si="1"/>
        <v>2160</v>
      </c>
      <c r="J34" s="19">
        <v>33</v>
      </c>
      <c r="K34" s="13">
        <v>0</v>
      </c>
      <c r="L34" s="18" t="s">
        <v>40</v>
      </c>
      <c r="M34" s="22"/>
    </row>
    <row r="35" spans="2:14" ht="15" customHeight="1" x14ac:dyDescent="0.3">
      <c r="B35"/>
      <c r="C35" s="13">
        <v>46079</v>
      </c>
      <c r="D35" s="19"/>
      <c r="E35" s="19"/>
      <c r="F35" s="19"/>
      <c r="G35" s="15">
        <v>60000</v>
      </c>
      <c r="H35" s="16">
        <v>0.06</v>
      </c>
      <c r="I35" s="75">
        <f t="shared" si="1"/>
        <v>3600</v>
      </c>
      <c r="J35" s="19">
        <v>3</v>
      </c>
      <c r="K35" s="13"/>
      <c r="L35" s="18" t="s">
        <v>166</v>
      </c>
      <c r="M35" s="22" t="s">
        <v>64</v>
      </c>
    </row>
    <row r="36" spans="2:14" ht="15" customHeight="1" x14ac:dyDescent="0.3">
      <c r="B36"/>
      <c r="C36" s="13">
        <v>46080</v>
      </c>
      <c r="D36" s="19"/>
      <c r="E36" s="19"/>
      <c r="F36" s="19"/>
      <c r="G36" s="15">
        <v>40000</v>
      </c>
      <c r="H36" s="16">
        <v>0.06</v>
      </c>
      <c r="I36" s="75">
        <f>H36*G36</f>
        <v>2400</v>
      </c>
      <c r="J36" s="19">
        <v>1</v>
      </c>
      <c r="K36" s="13"/>
      <c r="L36" s="18" t="s">
        <v>167</v>
      </c>
      <c r="M36" s="22"/>
    </row>
    <row r="37" spans="2:14" ht="15" customHeight="1" x14ac:dyDescent="0.3">
      <c r="B37"/>
      <c r="C37" s="34" t="s">
        <v>54</v>
      </c>
      <c r="D37" s="35"/>
      <c r="E37" s="35">
        <v>1042</v>
      </c>
      <c r="F37" s="35">
        <v>8110</v>
      </c>
      <c r="G37" s="36">
        <v>50000</v>
      </c>
      <c r="H37" s="37">
        <v>0.06</v>
      </c>
      <c r="I37" s="38">
        <f>H37*G37</f>
        <v>3000</v>
      </c>
      <c r="J37" s="35"/>
      <c r="K37" s="35" t="s">
        <v>54</v>
      </c>
      <c r="L37" s="35" t="s">
        <v>53</v>
      </c>
      <c r="M37" s="35" t="s">
        <v>52</v>
      </c>
    </row>
    <row r="38" spans="2:14" ht="15" customHeight="1" x14ac:dyDescent="0.3">
      <c r="C38" s="64">
        <v>45903</v>
      </c>
      <c r="D38" s="19"/>
      <c r="E38" s="19">
        <v>815</v>
      </c>
      <c r="F38" s="19">
        <v>8100</v>
      </c>
      <c r="G38" s="15">
        <v>40000</v>
      </c>
      <c r="H38" s="16">
        <v>0.06</v>
      </c>
      <c r="I38" s="65">
        <f>G38*H38</f>
        <v>2400</v>
      </c>
      <c r="J38" s="19">
        <v>5</v>
      </c>
      <c r="K38" s="19"/>
      <c r="L38" s="42" t="s">
        <v>96</v>
      </c>
      <c r="M38" s="22" t="s">
        <v>64</v>
      </c>
    </row>
    <row r="39" spans="2:14" ht="15" customHeight="1" x14ac:dyDescent="0.3">
      <c r="C39" s="64">
        <v>46153</v>
      </c>
      <c r="D39" s="19"/>
      <c r="E39" s="19"/>
      <c r="F39" s="19"/>
      <c r="G39" s="15">
        <v>300000</v>
      </c>
      <c r="H39" s="16">
        <v>0.06</v>
      </c>
      <c r="I39" s="65">
        <f>G39*H39</f>
        <v>18000</v>
      </c>
      <c r="J39" s="19"/>
      <c r="K39" s="19"/>
      <c r="L39" s="42" t="s">
        <v>198</v>
      </c>
      <c r="M39" s="22" t="s">
        <v>64</v>
      </c>
    </row>
    <row r="40" spans="2:14" ht="15" customHeight="1" x14ac:dyDescent="0.3">
      <c r="C40" s="64">
        <v>45976</v>
      </c>
      <c r="D40" s="19"/>
      <c r="E40" s="19">
        <v>2935</v>
      </c>
      <c r="F40" s="19">
        <v>8220</v>
      </c>
      <c r="G40" s="15">
        <v>60000</v>
      </c>
      <c r="H40" s="16">
        <v>0.06</v>
      </c>
      <c r="I40" s="65">
        <f>G40*H40</f>
        <v>3600</v>
      </c>
      <c r="J40" s="19">
        <v>4</v>
      </c>
      <c r="K40" s="19"/>
      <c r="L40" s="96" t="s">
        <v>149</v>
      </c>
      <c r="M40" s="22" t="s">
        <v>64</v>
      </c>
    </row>
    <row r="41" spans="2:14" ht="15" customHeight="1" x14ac:dyDescent="0.3">
      <c r="C41" s="64">
        <v>46122</v>
      </c>
      <c r="D41" s="19"/>
      <c r="E41" s="19"/>
      <c r="F41" s="19"/>
      <c r="G41" s="15">
        <v>50000</v>
      </c>
      <c r="H41" s="16">
        <v>0.06</v>
      </c>
      <c r="I41" s="65">
        <f>G41*H41</f>
        <v>3000</v>
      </c>
      <c r="J41" s="19">
        <v>1</v>
      </c>
      <c r="K41" s="19"/>
      <c r="L41" s="96" t="s">
        <v>197</v>
      </c>
      <c r="M41" s="22"/>
    </row>
    <row r="42" spans="2:14" ht="15" customHeight="1" x14ac:dyDescent="0.3">
      <c r="C42" s="64">
        <v>46122</v>
      </c>
      <c r="D42" s="19"/>
      <c r="E42" s="19"/>
      <c r="F42" s="19"/>
      <c r="G42" s="15">
        <v>50000</v>
      </c>
      <c r="H42" s="16">
        <v>0.06</v>
      </c>
      <c r="I42" s="65">
        <f>G42*H42</f>
        <v>3000</v>
      </c>
      <c r="J42" s="19">
        <v>1</v>
      </c>
      <c r="K42" s="19"/>
      <c r="L42" s="96" t="s">
        <v>196</v>
      </c>
      <c r="M42" s="22" t="s">
        <v>64</v>
      </c>
    </row>
    <row r="43" spans="2:14" ht="15" customHeight="1" x14ac:dyDescent="0.3">
      <c r="C43" t="s">
        <v>87</v>
      </c>
      <c r="G43" s="41">
        <f>SUM(G5:G42)</f>
        <v>2401001</v>
      </c>
      <c r="I43" s="41">
        <f>SUM(I5:I42)</f>
        <v>144720.06</v>
      </c>
    </row>
  </sheetData>
  <autoFilter ref="A3:M37" xr:uid="{C9E38041-1E1E-410E-8432-104BF65B8973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4BFC3-7D43-455D-92D6-A8B3CF2D0F4C}">
  <dimension ref="B4:T9"/>
  <sheetViews>
    <sheetView workbookViewId="0">
      <selection activeCell="F17" sqref="F17"/>
    </sheetView>
  </sheetViews>
  <sheetFormatPr defaultRowHeight="14.4" x14ac:dyDescent="0.3"/>
  <cols>
    <col min="3" max="3" width="10.33203125" bestFit="1" customWidth="1"/>
    <col min="5" max="6" width="5" bestFit="1" customWidth="1"/>
    <col min="7" max="7" width="14" style="63" bestFit="1" customWidth="1"/>
    <col min="8" max="8" width="6.109375" bestFit="1" customWidth="1"/>
    <col min="9" max="9" width="14" bestFit="1" customWidth="1"/>
    <col min="12" max="12" width="7.33203125" bestFit="1" customWidth="1"/>
    <col min="13" max="13" width="4.88671875" bestFit="1" customWidth="1"/>
    <col min="16" max="16" width="37" bestFit="1" customWidth="1"/>
    <col min="17" max="17" width="15.5546875" style="63" bestFit="1" customWidth="1"/>
    <col min="19" max="19" width="37" bestFit="1" customWidth="1"/>
    <col min="20" max="20" width="14" style="63" bestFit="1" customWidth="1"/>
  </cols>
  <sheetData>
    <row r="4" spans="2:20" x14ac:dyDescent="0.3">
      <c r="Q4" s="63" t="s">
        <v>103</v>
      </c>
    </row>
    <row r="5" spans="2:20" x14ac:dyDescent="0.3">
      <c r="B5" s="61" t="s">
        <v>101</v>
      </c>
      <c r="C5" s="62"/>
      <c r="D5" s="62"/>
      <c r="E5" s="62"/>
      <c r="F5" s="62"/>
      <c r="G5" s="74"/>
      <c r="H5" s="62"/>
      <c r="I5" s="62"/>
      <c r="J5" s="62"/>
      <c r="K5" s="62"/>
      <c r="L5" s="62"/>
      <c r="M5" s="62"/>
      <c r="P5" t="s">
        <v>104</v>
      </c>
      <c r="Q5" s="63">
        <v>5000000</v>
      </c>
      <c r="S5" t="s">
        <v>105</v>
      </c>
      <c r="T5" s="63">
        <v>180000</v>
      </c>
    </row>
    <row r="6" spans="2:20" ht="18.600000000000001" customHeight="1" x14ac:dyDescent="0.3">
      <c r="B6" s="19" t="s">
        <v>209</v>
      </c>
      <c r="C6" s="13">
        <v>45924</v>
      </c>
      <c r="D6" s="14"/>
      <c r="E6" s="69"/>
      <c r="F6" s="14"/>
      <c r="G6" s="71">
        <v>100000</v>
      </c>
      <c r="H6" s="16">
        <v>3.7499999999999999E-2</v>
      </c>
      <c r="I6" s="15">
        <f t="shared" ref="I6" si="0">G6*H6</f>
        <v>3750</v>
      </c>
      <c r="J6" s="14"/>
      <c r="K6" s="13"/>
      <c r="L6" s="17" t="s">
        <v>100</v>
      </c>
      <c r="M6" s="19" t="s">
        <v>64</v>
      </c>
      <c r="P6" t="s">
        <v>100</v>
      </c>
      <c r="Q6" s="63">
        <v>-100000</v>
      </c>
    </row>
    <row r="7" spans="2:20" x14ac:dyDescent="0.3">
      <c r="B7" s="19" t="s">
        <v>115</v>
      </c>
      <c r="C7" s="64">
        <v>45978</v>
      </c>
      <c r="D7" s="19"/>
      <c r="E7" s="19"/>
      <c r="F7" s="19"/>
      <c r="G7" s="75">
        <v>60000</v>
      </c>
      <c r="H7" s="76">
        <v>0.06</v>
      </c>
      <c r="I7" s="73">
        <f>G7*H7</f>
        <v>3600</v>
      </c>
      <c r="J7" s="19"/>
      <c r="K7" s="19"/>
      <c r="L7" s="19" t="s">
        <v>116</v>
      </c>
      <c r="M7" s="19"/>
    </row>
    <row r="8" spans="2:20" x14ac:dyDescent="0.3">
      <c r="C8" s="43"/>
      <c r="H8" s="77"/>
      <c r="I8" s="70"/>
    </row>
    <row r="9" spans="2:20" x14ac:dyDescent="0.3">
      <c r="B9" t="s">
        <v>162</v>
      </c>
      <c r="C9" s="43">
        <v>46069</v>
      </c>
      <c r="G9" s="63">
        <v>150000</v>
      </c>
      <c r="H9" s="77">
        <v>3.6999999999999998E-2</v>
      </c>
      <c r="I9" s="70">
        <f>H9*G9</f>
        <v>5550</v>
      </c>
      <c r="L9" t="s">
        <v>163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6975-CB03-4430-97D6-72DF3222EC76}">
  <dimension ref="C4:Q22"/>
  <sheetViews>
    <sheetView workbookViewId="0">
      <selection activeCell="M9" sqref="M9"/>
    </sheetView>
  </sheetViews>
  <sheetFormatPr defaultRowHeight="14.4" x14ac:dyDescent="0.3"/>
  <cols>
    <col min="3" max="3" width="10.33203125" bestFit="1" customWidth="1"/>
    <col min="5" max="5" width="8.88671875" style="46"/>
    <col min="6" max="6" width="6.109375" bestFit="1" customWidth="1"/>
    <col min="7" max="7" width="14.21875" bestFit="1" customWidth="1"/>
    <col min="8" max="8" width="8.21875" bestFit="1" customWidth="1"/>
    <col min="9" max="9" width="11.5546875" bestFit="1" customWidth="1"/>
    <col min="12" max="12" width="22.44140625" customWidth="1"/>
    <col min="13" max="13" width="12.88671875" bestFit="1" customWidth="1"/>
    <col min="16" max="16" width="15.5546875" style="63" bestFit="1" customWidth="1"/>
    <col min="17" max="17" width="11.88671875" bestFit="1" customWidth="1"/>
  </cols>
  <sheetData>
    <row r="4" spans="3:17" ht="43.2" x14ac:dyDescent="0.3">
      <c r="C4" s="5" t="s">
        <v>0</v>
      </c>
      <c r="D4" s="5" t="s">
        <v>1</v>
      </c>
      <c r="E4" s="44" t="s">
        <v>2</v>
      </c>
      <c r="F4" s="5" t="s">
        <v>3</v>
      </c>
      <c r="G4" s="5" t="s">
        <v>4</v>
      </c>
      <c r="H4" s="5" t="s">
        <v>5</v>
      </c>
      <c r="I4" s="5" t="s">
        <v>6</v>
      </c>
      <c r="J4" s="5" t="s">
        <v>7</v>
      </c>
      <c r="K4" s="5" t="s">
        <v>8</v>
      </c>
      <c r="L4" s="5" t="s">
        <v>9</v>
      </c>
      <c r="M4" s="7" t="s">
        <v>48</v>
      </c>
    </row>
    <row r="5" spans="3:17" x14ac:dyDescent="0.3">
      <c r="C5" s="23">
        <v>45735</v>
      </c>
      <c r="D5" s="24"/>
      <c r="E5" s="95" t="s">
        <v>77</v>
      </c>
      <c r="F5" s="24">
        <v>845</v>
      </c>
      <c r="G5" s="25"/>
      <c r="H5" s="26">
        <v>3.7499999999999999E-2</v>
      </c>
      <c r="I5" s="25"/>
      <c r="J5" s="24">
        <v>6</v>
      </c>
      <c r="K5" s="23"/>
      <c r="L5" s="27" t="s">
        <v>45</v>
      </c>
      <c r="M5" s="57" t="s">
        <v>56</v>
      </c>
    </row>
    <row r="6" spans="3:17" x14ac:dyDescent="0.3">
      <c r="C6" s="13">
        <v>45736</v>
      </c>
      <c r="D6" s="14"/>
      <c r="E6" s="69" t="s">
        <v>76</v>
      </c>
      <c r="F6" s="14">
        <v>847</v>
      </c>
      <c r="G6" s="15">
        <v>140000</v>
      </c>
      <c r="H6" s="16">
        <v>3.7499999999999999E-2</v>
      </c>
      <c r="I6" s="15">
        <f t="shared" ref="I6:I20" si="0">G6*H6</f>
        <v>5250</v>
      </c>
      <c r="J6" s="14">
        <v>9</v>
      </c>
      <c r="K6" s="13"/>
      <c r="L6" s="17" t="s">
        <v>44</v>
      </c>
      <c r="M6" s="22" t="s">
        <v>64</v>
      </c>
      <c r="N6" t="s">
        <v>147</v>
      </c>
    </row>
    <row r="7" spans="3:17" x14ac:dyDescent="0.3">
      <c r="C7" s="13">
        <v>45731</v>
      </c>
      <c r="D7" s="14"/>
      <c r="E7" s="69" t="s">
        <v>75</v>
      </c>
      <c r="F7" s="14">
        <v>1152</v>
      </c>
      <c r="G7" s="15">
        <v>350000</v>
      </c>
      <c r="H7" s="16">
        <v>3.7499999999999999E-2</v>
      </c>
      <c r="I7" s="15">
        <f t="shared" si="0"/>
        <v>13125</v>
      </c>
      <c r="J7" s="14">
        <v>6</v>
      </c>
      <c r="K7" s="13"/>
      <c r="L7" s="17" t="s">
        <v>47</v>
      </c>
      <c r="M7" s="22" t="s">
        <v>64</v>
      </c>
    </row>
    <row r="8" spans="3:17" x14ac:dyDescent="0.3">
      <c r="C8" s="13">
        <v>45735</v>
      </c>
      <c r="D8" s="14"/>
      <c r="E8" s="69" t="s">
        <v>74</v>
      </c>
      <c r="F8" s="14">
        <v>1157</v>
      </c>
      <c r="G8" s="15">
        <v>200000</v>
      </c>
      <c r="H8" s="16">
        <v>3.7499999999999999E-2</v>
      </c>
      <c r="I8" s="15">
        <f t="shared" si="0"/>
        <v>7500</v>
      </c>
      <c r="J8" s="14">
        <v>10</v>
      </c>
      <c r="K8" s="13"/>
      <c r="L8" s="17" t="s">
        <v>46</v>
      </c>
      <c r="M8" s="22" t="s">
        <v>64</v>
      </c>
      <c r="P8" s="63">
        <v>850000</v>
      </c>
      <c r="Q8" s="70">
        <f>P8*0.5%</f>
        <v>4250</v>
      </c>
    </row>
    <row r="9" spans="3:17" x14ac:dyDescent="0.3">
      <c r="C9" s="23">
        <v>45736</v>
      </c>
      <c r="D9" s="24"/>
      <c r="E9" s="95" t="s">
        <v>73</v>
      </c>
      <c r="F9" s="24">
        <v>1157</v>
      </c>
      <c r="G9" s="25">
        <v>200000</v>
      </c>
      <c r="H9" s="26">
        <v>3.7499999999999999E-2</v>
      </c>
      <c r="I9" s="25">
        <f t="shared" si="0"/>
        <v>7500</v>
      </c>
      <c r="J9" s="24">
        <v>6</v>
      </c>
      <c r="K9" s="23"/>
      <c r="L9" s="27" t="s">
        <v>72</v>
      </c>
      <c r="M9" s="78" t="s">
        <v>56</v>
      </c>
    </row>
    <row r="10" spans="3:17" x14ac:dyDescent="0.3">
      <c r="C10" s="13">
        <v>45762</v>
      </c>
      <c r="D10" s="14"/>
      <c r="E10" s="69" t="s">
        <v>71</v>
      </c>
      <c r="F10" s="14">
        <v>846</v>
      </c>
      <c r="G10" s="15">
        <v>60000</v>
      </c>
      <c r="H10" s="16">
        <v>3.7499999999999999E-2</v>
      </c>
      <c r="I10" s="15">
        <f t="shared" si="0"/>
        <v>2250</v>
      </c>
      <c r="J10" s="14">
        <v>8</v>
      </c>
      <c r="K10" s="13"/>
      <c r="L10" s="17" t="s">
        <v>43</v>
      </c>
      <c r="M10" s="22" t="s">
        <v>64</v>
      </c>
    </row>
    <row r="11" spans="3:17" x14ac:dyDescent="0.3">
      <c r="C11" s="54">
        <v>45800</v>
      </c>
      <c r="D11" s="55"/>
      <c r="E11" s="59" t="s">
        <v>70</v>
      </c>
      <c r="F11" s="55">
        <v>1158</v>
      </c>
      <c r="G11" s="58">
        <v>200000</v>
      </c>
      <c r="H11" s="60">
        <v>3.7499999999999999E-2</v>
      </c>
      <c r="I11" s="58">
        <f t="shared" si="0"/>
        <v>7500</v>
      </c>
      <c r="J11" s="55">
        <v>8</v>
      </c>
      <c r="K11" s="54"/>
      <c r="L11" s="56" t="s">
        <v>55</v>
      </c>
      <c r="M11" s="22" t="s">
        <v>64</v>
      </c>
    </row>
    <row r="12" spans="3:17" x14ac:dyDescent="0.3">
      <c r="C12" s="13">
        <v>45861</v>
      </c>
      <c r="D12" s="14"/>
      <c r="E12" s="69" t="s">
        <v>69</v>
      </c>
      <c r="F12" s="14">
        <v>1143</v>
      </c>
      <c r="G12" s="15">
        <v>200000</v>
      </c>
      <c r="H12" s="16">
        <v>3.7499999999999999E-2</v>
      </c>
      <c r="I12" s="15">
        <f t="shared" si="0"/>
        <v>7500</v>
      </c>
      <c r="J12" s="14">
        <v>8</v>
      </c>
      <c r="K12" s="13"/>
      <c r="L12" s="17" t="s">
        <v>68</v>
      </c>
      <c r="M12" s="22" t="s">
        <v>64</v>
      </c>
    </row>
    <row r="13" spans="3:17" x14ac:dyDescent="0.3">
      <c r="C13" s="13">
        <v>45889</v>
      </c>
      <c r="D13" s="14"/>
      <c r="E13" s="69" t="s">
        <v>90</v>
      </c>
      <c r="F13" s="14">
        <v>1162</v>
      </c>
      <c r="G13" s="15">
        <v>250000</v>
      </c>
      <c r="H13" s="16">
        <v>0.04</v>
      </c>
      <c r="I13" s="15">
        <f t="shared" si="0"/>
        <v>10000</v>
      </c>
      <c r="J13" s="14">
        <v>7</v>
      </c>
      <c r="K13" s="13"/>
      <c r="L13" s="17" t="s">
        <v>91</v>
      </c>
      <c r="M13" s="22" t="s">
        <v>64</v>
      </c>
    </row>
    <row r="14" spans="3:17" x14ac:dyDescent="0.3">
      <c r="C14" s="13">
        <v>45950</v>
      </c>
      <c r="D14" s="14"/>
      <c r="E14" s="69" t="s">
        <v>148</v>
      </c>
      <c r="F14" s="14">
        <v>1168</v>
      </c>
      <c r="G14" s="15">
        <v>200000</v>
      </c>
      <c r="H14" s="16">
        <v>3.7499999999999999E-2</v>
      </c>
      <c r="I14" s="15">
        <f t="shared" si="0"/>
        <v>7500</v>
      </c>
      <c r="J14" s="14">
        <v>4</v>
      </c>
      <c r="K14" s="13"/>
      <c r="L14" s="17" t="s">
        <v>191</v>
      </c>
      <c r="M14" s="22" t="s">
        <v>64</v>
      </c>
    </row>
    <row r="15" spans="3:17" x14ac:dyDescent="0.3">
      <c r="C15" s="23">
        <v>45989</v>
      </c>
      <c r="D15" s="24"/>
      <c r="E15" s="95"/>
      <c r="F15" s="24"/>
      <c r="G15" s="25">
        <v>100000</v>
      </c>
      <c r="H15" s="26">
        <v>3.7499999999999999E-2</v>
      </c>
      <c r="I15" s="25">
        <f t="shared" si="0"/>
        <v>3750</v>
      </c>
      <c r="J15" s="24">
        <v>1</v>
      </c>
      <c r="K15" s="23"/>
      <c r="L15" s="27" t="s">
        <v>92</v>
      </c>
      <c r="M15" s="78" t="s">
        <v>56</v>
      </c>
    </row>
    <row r="16" spans="3:17" x14ac:dyDescent="0.3">
      <c r="C16" s="23">
        <v>45863</v>
      </c>
      <c r="D16" s="24"/>
      <c r="E16" s="95" t="s">
        <v>93</v>
      </c>
      <c r="F16" s="24">
        <v>1162</v>
      </c>
      <c r="G16" s="25">
        <v>200000</v>
      </c>
      <c r="H16" s="26">
        <v>0.04</v>
      </c>
      <c r="I16" s="25">
        <f t="shared" si="0"/>
        <v>8000</v>
      </c>
      <c r="J16" s="24">
        <v>5</v>
      </c>
      <c r="K16" s="23"/>
      <c r="L16" s="27" t="s">
        <v>92</v>
      </c>
      <c r="M16" s="78" t="s">
        <v>56</v>
      </c>
    </row>
    <row r="17" spans="3:13" x14ac:dyDescent="0.3">
      <c r="C17" s="13">
        <v>46052</v>
      </c>
      <c r="D17" s="14"/>
      <c r="E17" s="69"/>
      <c r="F17" s="14"/>
      <c r="G17" s="15">
        <v>50000</v>
      </c>
      <c r="H17" s="16">
        <v>3.6999999999999998E-2</v>
      </c>
      <c r="I17" s="15">
        <f t="shared" si="0"/>
        <v>1850</v>
      </c>
      <c r="J17" s="14">
        <v>4</v>
      </c>
      <c r="K17" s="13"/>
      <c r="L17" s="17" t="s">
        <v>157</v>
      </c>
      <c r="M17" s="22" t="s">
        <v>64</v>
      </c>
    </row>
    <row r="18" spans="3:13" x14ac:dyDescent="0.3">
      <c r="C18" s="13">
        <v>46022</v>
      </c>
      <c r="D18" s="14"/>
      <c r="E18" s="69"/>
      <c r="F18" s="14"/>
      <c r="G18" s="15">
        <v>100000</v>
      </c>
      <c r="H18" s="16">
        <v>3.6999999999999998E-2</v>
      </c>
      <c r="I18" s="15">
        <f t="shared" si="0"/>
        <v>3700</v>
      </c>
      <c r="J18" s="14">
        <v>4</v>
      </c>
      <c r="K18" s="13"/>
      <c r="L18" s="17" t="s">
        <v>164</v>
      </c>
      <c r="M18" s="22" t="s">
        <v>64</v>
      </c>
    </row>
    <row r="19" spans="3:13" x14ac:dyDescent="0.3">
      <c r="C19" s="13">
        <v>46096</v>
      </c>
      <c r="D19" s="14"/>
      <c r="E19" s="69"/>
      <c r="F19" s="14"/>
      <c r="G19" s="15">
        <v>120000</v>
      </c>
      <c r="H19" s="16">
        <v>3.7499999999999999E-2</v>
      </c>
      <c r="I19" s="15">
        <f t="shared" si="0"/>
        <v>4500</v>
      </c>
      <c r="J19" s="14">
        <v>1</v>
      </c>
      <c r="K19" s="13"/>
      <c r="L19" s="17" t="s">
        <v>189</v>
      </c>
      <c r="M19" s="22" t="s">
        <v>64</v>
      </c>
    </row>
    <row r="20" spans="3:13" x14ac:dyDescent="0.3">
      <c r="C20" s="13">
        <v>45993</v>
      </c>
      <c r="D20" s="14"/>
      <c r="E20" s="69"/>
      <c r="F20" s="14"/>
      <c r="G20" s="15">
        <v>100000</v>
      </c>
      <c r="H20" s="16">
        <v>3.7499999999999999E-2</v>
      </c>
      <c r="I20" s="15">
        <f t="shared" si="0"/>
        <v>3750</v>
      </c>
      <c r="J20" s="14">
        <v>3</v>
      </c>
      <c r="K20" s="13"/>
      <c r="L20" s="17" t="s">
        <v>190</v>
      </c>
      <c r="M20" s="22" t="s">
        <v>64</v>
      </c>
    </row>
    <row r="21" spans="3:13" x14ac:dyDescent="0.3">
      <c r="C21" s="1"/>
      <c r="D21" s="2"/>
      <c r="E21" s="45"/>
      <c r="F21" s="2"/>
      <c r="G21" s="3"/>
      <c r="H21" s="4"/>
      <c r="I21" s="3">
        <f>SUM(I5:I20)</f>
        <v>93675</v>
      </c>
      <c r="J21" s="2"/>
      <c r="K21" s="1"/>
      <c r="L21" s="6"/>
    </row>
    <row r="22" spans="3:13" x14ac:dyDescent="0.3">
      <c r="C22" t="s">
        <v>42</v>
      </c>
      <c r="G22" s="41">
        <f>SUM(G5:G21)</f>
        <v>2470000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98CE8-090C-4D27-96CA-7E36A7F4A047}">
  <dimension ref="A4:P40"/>
  <sheetViews>
    <sheetView tabSelected="1" zoomScale="60" zoomScaleNormal="60" workbookViewId="0">
      <selection activeCell="B3" sqref="B3:M33"/>
    </sheetView>
  </sheetViews>
  <sheetFormatPr defaultRowHeight="14.4" x14ac:dyDescent="0.3"/>
  <cols>
    <col min="1" max="1" width="10.33203125" bestFit="1" customWidth="1"/>
    <col min="3" max="3" width="17.5546875" bestFit="1" customWidth="1"/>
    <col min="5" max="5" width="15.33203125" bestFit="1" customWidth="1"/>
    <col min="7" max="7" width="18.88671875" bestFit="1" customWidth="1"/>
    <col min="8" max="8" width="16" bestFit="1" customWidth="1"/>
    <col min="9" max="9" width="19.77734375" bestFit="1" customWidth="1"/>
    <col min="11" max="11" width="17.5546875" bestFit="1" customWidth="1"/>
    <col min="12" max="12" width="19.77734375" customWidth="1"/>
    <col min="13" max="13" width="16.77734375" bestFit="1" customWidth="1"/>
    <col min="14" max="14" width="10.88671875" bestFit="1" customWidth="1"/>
    <col min="15" max="15" width="14" style="63" bestFit="1" customWidth="1"/>
    <col min="16" max="16" width="12.88671875" style="63" bestFit="1" customWidth="1"/>
  </cols>
  <sheetData>
    <row r="4" spans="1:16" ht="43.2" x14ac:dyDescent="0.3">
      <c r="C4" s="5" t="s">
        <v>0</v>
      </c>
      <c r="D4" s="5" t="s">
        <v>1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6</v>
      </c>
      <c r="J4" s="5" t="s">
        <v>7</v>
      </c>
      <c r="K4" s="5" t="s">
        <v>121</v>
      </c>
      <c r="L4" s="5" t="s">
        <v>9</v>
      </c>
      <c r="M4" s="5" t="s">
        <v>48</v>
      </c>
    </row>
    <row r="5" spans="1:16" ht="28.8" x14ac:dyDescent="0.3">
      <c r="C5" s="79">
        <v>45835</v>
      </c>
      <c r="D5" s="80"/>
      <c r="E5" s="80">
        <v>3322</v>
      </c>
      <c r="F5" s="80" t="s">
        <v>78</v>
      </c>
      <c r="G5" s="91">
        <v>100000</v>
      </c>
      <c r="H5" s="82">
        <v>5.6000000000000001E-2</v>
      </c>
      <c r="I5" s="83">
        <f>G5*H5</f>
        <v>5600</v>
      </c>
      <c r="J5" s="80">
        <v>6</v>
      </c>
      <c r="K5" s="79"/>
      <c r="L5" s="84" t="s">
        <v>57</v>
      </c>
      <c r="M5" s="22" t="s">
        <v>64</v>
      </c>
      <c r="N5" t="s">
        <v>126</v>
      </c>
    </row>
    <row r="6" spans="1:16" ht="28.8" x14ac:dyDescent="0.3">
      <c r="C6" s="23">
        <v>45827</v>
      </c>
      <c r="D6" s="24"/>
      <c r="E6" s="24">
        <v>3321</v>
      </c>
      <c r="F6" s="24" t="s">
        <v>79</v>
      </c>
      <c r="G6" s="25">
        <v>44000</v>
      </c>
      <c r="H6" s="93">
        <v>5.6000000000000001E-2</v>
      </c>
      <c r="I6" s="94">
        <f t="shared" ref="I6:I32" si="0">G6*H6</f>
        <v>2464</v>
      </c>
      <c r="J6" s="24">
        <v>4</v>
      </c>
      <c r="K6" s="23"/>
      <c r="L6" s="27" t="s">
        <v>58</v>
      </c>
      <c r="M6" t="s">
        <v>56</v>
      </c>
    </row>
    <row r="7" spans="1:16" x14ac:dyDescent="0.3">
      <c r="B7" s="78"/>
      <c r="C7" s="79">
        <v>45818</v>
      </c>
      <c r="D7" s="80"/>
      <c r="E7" s="80">
        <v>3322</v>
      </c>
      <c r="F7" s="80" t="s">
        <v>80</v>
      </c>
      <c r="G7" s="81">
        <v>90000</v>
      </c>
      <c r="H7" s="82">
        <v>5.6000000000000001E-2</v>
      </c>
      <c r="I7" s="83">
        <f t="shared" si="0"/>
        <v>5040</v>
      </c>
      <c r="J7" s="80">
        <v>6</v>
      </c>
      <c r="K7" s="79"/>
      <c r="L7" s="84" t="s">
        <v>59</v>
      </c>
      <c r="M7" s="22" t="s">
        <v>97</v>
      </c>
    </row>
    <row r="8" spans="1:16" x14ac:dyDescent="0.3">
      <c r="B8" s="78"/>
      <c r="C8" s="79">
        <v>45806</v>
      </c>
      <c r="D8" s="80"/>
      <c r="E8" s="80">
        <v>3322</v>
      </c>
      <c r="F8" s="80" t="s">
        <v>81</v>
      </c>
      <c r="G8" s="81">
        <v>100000</v>
      </c>
      <c r="H8" s="82">
        <v>5.6000000000000001E-2</v>
      </c>
      <c r="I8" s="83">
        <f t="shared" si="0"/>
        <v>5600</v>
      </c>
      <c r="J8" s="80">
        <v>6</v>
      </c>
      <c r="K8" s="79"/>
      <c r="L8" s="84" t="s">
        <v>65</v>
      </c>
      <c r="M8" s="22" t="s">
        <v>204</v>
      </c>
    </row>
    <row r="9" spans="1:16" ht="28.8" x14ac:dyDescent="0.3">
      <c r="B9" s="78"/>
      <c r="C9" s="79">
        <v>45798</v>
      </c>
      <c r="D9" s="80"/>
      <c r="E9" s="80">
        <v>3295</v>
      </c>
      <c r="F9" s="80" t="s">
        <v>82</v>
      </c>
      <c r="G9" s="81">
        <v>70000</v>
      </c>
      <c r="H9" s="82">
        <v>5.6000000000000001E-2</v>
      </c>
      <c r="I9" s="83">
        <f t="shared" si="0"/>
        <v>3920</v>
      </c>
      <c r="J9" s="80">
        <v>6</v>
      </c>
      <c r="K9" s="79"/>
      <c r="L9" s="84" t="s">
        <v>60</v>
      </c>
      <c r="M9" s="22" t="s">
        <v>204</v>
      </c>
      <c r="O9" s="63">
        <v>910000</v>
      </c>
      <c r="P9" s="63">
        <f>O9*1%</f>
        <v>9100</v>
      </c>
    </row>
    <row r="10" spans="1:16" ht="28.8" x14ac:dyDescent="0.3">
      <c r="C10" s="79">
        <v>45866</v>
      </c>
      <c r="D10" s="80"/>
      <c r="E10" s="80">
        <v>3322</v>
      </c>
      <c r="F10" s="80" t="s">
        <v>83</v>
      </c>
      <c r="G10" s="81">
        <v>100000</v>
      </c>
      <c r="H10" s="82">
        <v>5.6000000000000001E-2</v>
      </c>
      <c r="I10" s="83">
        <f t="shared" si="0"/>
        <v>5600</v>
      </c>
      <c r="J10" s="80">
        <v>6</v>
      </c>
      <c r="K10" s="79"/>
      <c r="L10" s="84" t="s">
        <v>66</v>
      </c>
      <c r="M10" s="22" t="s">
        <v>204</v>
      </c>
      <c r="P10" s="63">
        <v>2250</v>
      </c>
    </row>
    <row r="11" spans="1:16" ht="28.8" x14ac:dyDescent="0.3">
      <c r="A11" s="43"/>
      <c r="C11" s="79">
        <v>45861</v>
      </c>
      <c r="D11" s="80"/>
      <c r="E11" s="80">
        <v>3322</v>
      </c>
      <c r="F11" s="80" t="s">
        <v>84</v>
      </c>
      <c r="G11" s="81">
        <v>100000</v>
      </c>
      <c r="H11" s="82">
        <v>5.6000000000000001E-2</v>
      </c>
      <c r="I11" s="83">
        <f t="shared" si="0"/>
        <v>5600</v>
      </c>
      <c r="J11" s="80">
        <v>6</v>
      </c>
      <c r="K11" s="79"/>
      <c r="L11" s="84" t="s">
        <v>67</v>
      </c>
      <c r="M11" s="22" t="s">
        <v>204</v>
      </c>
      <c r="O11" s="63" t="s">
        <v>122</v>
      </c>
      <c r="P11" s="63">
        <f>SUM(P9:P10)</f>
        <v>11350</v>
      </c>
    </row>
    <row r="12" spans="1:16" x14ac:dyDescent="0.3">
      <c r="A12" s="43"/>
      <c r="B12">
        <v>1.1000000000000001</v>
      </c>
      <c r="C12" s="79">
        <v>45889</v>
      </c>
      <c r="D12" s="80"/>
      <c r="E12" s="80">
        <v>3322</v>
      </c>
      <c r="F12" s="80">
        <v>1864</v>
      </c>
      <c r="G12" s="81">
        <v>90000</v>
      </c>
      <c r="H12" s="82">
        <v>5.6000000000000001E-2</v>
      </c>
      <c r="I12" s="83">
        <f t="shared" si="0"/>
        <v>5040</v>
      </c>
      <c r="J12" s="80">
        <v>6</v>
      </c>
      <c r="K12" s="79"/>
      <c r="L12" s="84" t="s">
        <v>99</v>
      </c>
      <c r="M12" s="22" t="s">
        <v>204</v>
      </c>
      <c r="N12" t="s">
        <v>126</v>
      </c>
    </row>
    <row r="13" spans="1:16" ht="28.8" x14ac:dyDescent="0.3">
      <c r="A13" s="43"/>
      <c r="C13" s="79">
        <v>45884</v>
      </c>
      <c r="D13" s="80"/>
      <c r="E13" s="80">
        <v>1769</v>
      </c>
      <c r="F13" s="80">
        <v>3320</v>
      </c>
      <c r="G13" s="81">
        <v>120000</v>
      </c>
      <c r="H13" s="82">
        <v>5.6000000000000001E-2</v>
      </c>
      <c r="I13" s="83">
        <f t="shared" si="0"/>
        <v>6720</v>
      </c>
      <c r="J13" s="80">
        <v>6</v>
      </c>
      <c r="K13" s="79"/>
      <c r="L13" s="84" t="s">
        <v>89</v>
      </c>
      <c r="M13" s="22" t="s">
        <v>204</v>
      </c>
      <c r="N13" t="s">
        <v>125</v>
      </c>
      <c r="P13" s="63">
        <v>70000</v>
      </c>
    </row>
    <row r="14" spans="1:16" x14ac:dyDescent="0.3">
      <c r="A14" s="43"/>
      <c r="C14" s="79">
        <v>45930</v>
      </c>
      <c r="D14" s="80" t="s">
        <v>107</v>
      </c>
      <c r="E14" s="80">
        <v>726</v>
      </c>
      <c r="F14" s="80">
        <v>3326</v>
      </c>
      <c r="G14" s="81">
        <v>140000</v>
      </c>
      <c r="H14" s="82">
        <v>5.6000000000000001E-2</v>
      </c>
      <c r="I14" s="83">
        <f t="shared" si="0"/>
        <v>7840</v>
      </c>
      <c r="J14" s="80">
        <v>6</v>
      </c>
      <c r="K14" s="79"/>
      <c r="L14" s="84" t="s">
        <v>106</v>
      </c>
      <c r="M14" s="22" t="s">
        <v>204</v>
      </c>
      <c r="N14" t="s">
        <v>170</v>
      </c>
    </row>
    <row r="15" spans="1:16" x14ac:dyDescent="0.3">
      <c r="A15" s="43"/>
      <c r="C15" s="79">
        <v>45946</v>
      </c>
      <c r="D15" s="80" t="s">
        <v>108</v>
      </c>
      <c r="E15" s="80">
        <v>494</v>
      </c>
      <c r="F15" s="80">
        <v>3326</v>
      </c>
      <c r="G15" s="81">
        <v>100000</v>
      </c>
      <c r="H15" s="82">
        <v>5.6000000000000001E-2</v>
      </c>
      <c r="I15" s="83">
        <f t="shared" si="0"/>
        <v>5600</v>
      </c>
      <c r="J15" s="80">
        <v>6</v>
      </c>
      <c r="K15" s="79"/>
      <c r="L15" s="84" t="s">
        <v>109</v>
      </c>
      <c r="M15" s="22" t="s">
        <v>204</v>
      </c>
      <c r="N15" t="s">
        <v>170</v>
      </c>
    </row>
    <row r="16" spans="1:16" x14ac:dyDescent="0.3">
      <c r="A16" s="43"/>
      <c r="C16" s="79">
        <v>45960</v>
      </c>
      <c r="D16" s="80" t="s">
        <v>108</v>
      </c>
      <c r="E16" s="80">
        <v>3779</v>
      </c>
      <c r="F16" s="80">
        <v>3327</v>
      </c>
      <c r="G16" s="81">
        <v>140000</v>
      </c>
      <c r="H16" s="82">
        <v>5.6000000000000001E-2</v>
      </c>
      <c r="I16" s="83">
        <f t="shared" si="0"/>
        <v>7840</v>
      </c>
      <c r="J16" s="80">
        <v>6</v>
      </c>
      <c r="K16" s="79"/>
      <c r="L16" s="84" t="s">
        <v>110</v>
      </c>
      <c r="M16" s="22" t="s">
        <v>204</v>
      </c>
      <c r="N16" t="s">
        <v>125</v>
      </c>
      <c r="P16" s="63">
        <f>340000*1%</f>
        <v>3400</v>
      </c>
    </row>
    <row r="17" spans="1:16" x14ac:dyDescent="0.3">
      <c r="A17" s="43"/>
      <c r="C17" s="79">
        <v>45948</v>
      </c>
      <c r="D17" s="80"/>
      <c r="E17" s="80">
        <v>660</v>
      </c>
      <c r="F17" s="80">
        <v>3326</v>
      </c>
      <c r="G17" s="81">
        <v>100000</v>
      </c>
      <c r="H17" s="82">
        <v>5.6000000000000001E-2</v>
      </c>
      <c r="I17" s="83">
        <f t="shared" si="0"/>
        <v>5600</v>
      </c>
      <c r="J17" s="80">
        <v>6</v>
      </c>
      <c r="K17" s="79"/>
      <c r="L17" s="84" t="s">
        <v>111</v>
      </c>
      <c r="M17" s="22" t="s">
        <v>204</v>
      </c>
      <c r="N17" t="s">
        <v>170</v>
      </c>
      <c r="P17" s="63">
        <f>5000-3400</f>
        <v>1600</v>
      </c>
    </row>
    <row r="18" spans="1:16" x14ac:dyDescent="0.3">
      <c r="A18" s="43"/>
      <c r="C18" s="23">
        <v>45910</v>
      </c>
      <c r="D18" s="24"/>
      <c r="E18" s="24">
        <v>3851</v>
      </c>
      <c r="F18" s="24"/>
      <c r="G18" s="25">
        <v>140000</v>
      </c>
      <c r="H18" s="93">
        <v>5.6000000000000001E-2</v>
      </c>
      <c r="I18" s="94">
        <f t="shared" si="0"/>
        <v>7840</v>
      </c>
      <c r="J18" s="24">
        <v>2</v>
      </c>
      <c r="K18" s="23"/>
      <c r="L18" s="27" t="s">
        <v>112</v>
      </c>
      <c r="M18" s="22" t="s">
        <v>56</v>
      </c>
    </row>
    <row r="19" spans="1:16" x14ac:dyDescent="0.3">
      <c r="A19" s="43"/>
      <c r="C19" s="13">
        <v>46031</v>
      </c>
      <c r="D19" s="14"/>
      <c r="E19" s="14"/>
      <c r="F19" s="14"/>
      <c r="G19" s="15">
        <v>140000</v>
      </c>
      <c r="H19" s="72">
        <v>5.6000000000000001E-2</v>
      </c>
      <c r="I19" s="73">
        <f t="shared" si="0"/>
        <v>7840</v>
      </c>
      <c r="J19" s="14">
        <v>2</v>
      </c>
      <c r="K19" s="13"/>
      <c r="L19" s="17" t="s">
        <v>145</v>
      </c>
      <c r="M19" s="22" t="s">
        <v>205</v>
      </c>
      <c r="N19" t="s">
        <v>171</v>
      </c>
    </row>
    <row r="20" spans="1:16" x14ac:dyDescent="0.3">
      <c r="A20" s="43"/>
      <c r="C20" s="79">
        <v>45954</v>
      </c>
      <c r="D20" s="80"/>
      <c r="E20" s="80">
        <v>3326</v>
      </c>
      <c r="F20" s="80">
        <v>328</v>
      </c>
      <c r="G20" s="81">
        <v>90000</v>
      </c>
      <c r="H20" s="82">
        <v>5.6000000000000001E-2</v>
      </c>
      <c r="I20" s="83">
        <f t="shared" si="0"/>
        <v>5040</v>
      </c>
      <c r="J20" s="80">
        <v>6</v>
      </c>
      <c r="K20" s="79"/>
      <c r="L20" s="84" t="s">
        <v>113</v>
      </c>
      <c r="M20" s="22" t="s">
        <v>204</v>
      </c>
      <c r="N20" t="s">
        <v>171</v>
      </c>
    </row>
    <row r="21" spans="1:16" x14ac:dyDescent="0.3">
      <c r="A21" s="43"/>
      <c r="C21" s="13">
        <v>46053</v>
      </c>
      <c r="D21" s="14"/>
      <c r="E21" s="14"/>
      <c r="F21" s="14"/>
      <c r="G21" s="15">
        <v>90000</v>
      </c>
      <c r="H21" s="72">
        <v>5.6000000000000001E-2</v>
      </c>
      <c r="I21" s="73">
        <f t="shared" si="0"/>
        <v>5040</v>
      </c>
      <c r="J21" s="14">
        <v>3</v>
      </c>
      <c r="K21" s="13"/>
      <c r="L21" s="17" t="s">
        <v>156</v>
      </c>
      <c r="M21" s="22" t="s">
        <v>64</v>
      </c>
      <c r="N21" t="s">
        <v>125</v>
      </c>
      <c r="O21" s="63">
        <v>1350</v>
      </c>
    </row>
    <row r="22" spans="1:16" ht="28.8" x14ac:dyDescent="0.3">
      <c r="A22" s="43"/>
      <c r="C22" s="13">
        <v>46048</v>
      </c>
      <c r="D22" s="14" t="s">
        <v>169</v>
      </c>
      <c r="E22" s="14"/>
      <c r="F22" s="14"/>
      <c r="G22" s="15">
        <v>120000</v>
      </c>
      <c r="H22" s="72">
        <v>5.6000000000000001E-2</v>
      </c>
      <c r="I22" s="73">
        <f t="shared" si="0"/>
        <v>6720</v>
      </c>
      <c r="J22" s="14">
        <v>3</v>
      </c>
      <c r="K22" s="13"/>
      <c r="L22" s="17" t="s">
        <v>177</v>
      </c>
      <c r="M22" s="22" t="s">
        <v>64</v>
      </c>
      <c r="N22" t="s">
        <v>170</v>
      </c>
    </row>
    <row r="23" spans="1:16" ht="28.8" x14ac:dyDescent="0.3">
      <c r="A23" s="43"/>
      <c r="C23" s="13">
        <v>46043</v>
      </c>
      <c r="D23" s="14" t="s">
        <v>169</v>
      </c>
      <c r="E23" s="14"/>
      <c r="F23" s="14"/>
      <c r="G23" s="15">
        <v>54000</v>
      </c>
      <c r="H23" s="72">
        <v>5.6000000000000001E-2</v>
      </c>
      <c r="I23" s="73">
        <f t="shared" si="0"/>
        <v>3024</v>
      </c>
      <c r="J23" s="14">
        <v>5</v>
      </c>
      <c r="K23" s="13"/>
      <c r="L23" s="17" t="s">
        <v>176</v>
      </c>
      <c r="M23" s="22" t="s">
        <v>64</v>
      </c>
      <c r="N23" t="s">
        <v>125</v>
      </c>
    </row>
    <row r="24" spans="1:16" x14ac:dyDescent="0.3">
      <c r="A24" s="43"/>
      <c r="C24" s="13">
        <v>46059</v>
      </c>
      <c r="D24" s="14"/>
      <c r="E24" s="14"/>
      <c r="F24" s="14"/>
      <c r="G24" s="15">
        <v>90000</v>
      </c>
      <c r="H24" s="72">
        <v>5.6000000000000001E-2</v>
      </c>
      <c r="I24" s="73">
        <f t="shared" si="0"/>
        <v>5040</v>
      </c>
      <c r="J24" s="14">
        <v>3</v>
      </c>
      <c r="K24" s="13"/>
      <c r="L24" s="17" t="s">
        <v>159</v>
      </c>
      <c r="M24" s="22" t="s">
        <v>64</v>
      </c>
      <c r="N24" t="s">
        <v>125</v>
      </c>
    </row>
    <row r="25" spans="1:16" ht="28.8" x14ac:dyDescent="0.3">
      <c r="A25" s="43"/>
      <c r="C25" s="13">
        <v>46066</v>
      </c>
      <c r="D25" s="14" t="s">
        <v>169</v>
      </c>
      <c r="E25" s="14"/>
      <c r="F25" s="14"/>
      <c r="G25" s="15">
        <v>90000</v>
      </c>
      <c r="H25" s="72">
        <v>5.6000000000000001E-2</v>
      </c>
      <c r="I25" s="73">
        <f t="shared" si="0"/>
        <v>5040</v>
      </c>
      <c r="J25" s="14">
        <v>3</v>
      </c>
      <c r="K25" s="13"/>
      <c r="L25" s="17" t="s">
        <v>161</v>
      </c>
      <c r="M25" s="22" t="s">
        <v>64</v>
      </c>
      <c r="N25" t="s">
        <v>125</v>
      </c>
    </row>
    <row r="26" spans="1:16" x14ac:dyDescent="0.3">
      <c r="A26" s="43"/>
      <c r="C26" s="13">
        <v>46079</v>
      </c>
      <c r="D26" s="14"/>
      <c r="E26" s="14"/>
      <c r="F26" s="14"/>
      <c r="G26" s="15">
        <v>90000</v>
      </c>
      <c r="H26" s="72">
        <v>5.6000000000000001E-2</v>
      </c>
      <c r="I26" s="73">
        <f t="shared" si="0"/>
        <v>5040</v>
      </c>
      <c r="J26" s="14">
        <v>1</v>
      </c>
      <c r="K26" s="13"/>
      <c r="L26" s="17" t="s">
        <v>168</v>
      </c>
      <c r="M26" s="22" t="s">
        <v>64</v>
      </c>
      <c r="N26" t="s">
        <v>125</v>
      </c>
    </row>
    <row r="27" spans="1:16" x14ac:dyDescent="0.3">
      <c r="A27" s="43"/>
      <c r="C27" s="13">
        <v>46093</v>
      </c>
      <c r="D27" s="14"/>
      <c r="E27" s="14"/>
      <c r="F27" s="14"/>
      <c r="G27" s="15">
        <v>270000</v>
      </c>
      <c r="H27" s="72">
        <v>5.6000000000000001E-2</v>
      </c>
      <c r="I27" s="73">
        <f t="shared" si="0"/>
        <v>15120</v>
      </c>
      <c r="J27" s="14">
        <v>1</v>
      </c>
      <c r="K27" s="13"/>
      <c r="L27" s="17" t="s">
        <v>175</v>
      </c>
      <c r="M27" s="22" t="s">
        <v>206</v>
      </c>
      <c r="N27" t="s">
        <v>125</v>
      </c>
    </row>
    <row r="28" spans="1:16" x14ac:dyDescent="0.3">
      <c r="A28" s="43"/>
      <c r="C28" s="13">
        <v>46101</v>
      </c>
      <c r="D28" s="14" t="s">
        <v>169</v>
      </c>
      <c r="E28" s="14"/>
      <c r="F28" s="14"/>
      <c r="G28" s="15">
        <v>230000</v>
      </c>
      <c r="H28" s="72">
        <v>5.6000000000000001E-2</v>
      </c>
      <c r="I28" s="73">
        <f t="shared" si="0"/>
        <v>12880</v>
      </c>
      <c r="J28" s="14">
        <v>1</v>
      </c>
      <c r="K28" s="13"/>
      <c r="L28" s="17" t="s">
        <v>179</v>
      </c>
      <c r="M28" s="22" t="s">
        <v>64</v>
      </c>
      <c r="N28" t="s">
        <v>125</v>
      </c>
    </row>
    <row r="29" spans="1:16" x14ac:dyDescent="0.3">
      <c r="A29" s="43"/>
      <c r="C29" s="13">
        <v>46104</v>
      </c>
      <c r="D29" s="14"/>
      <c r="E29" s="14"/>
      <c r="F29" s="14"/>
      <c r="G29" s="15">
        <v>90000</v>
      </c>
      <c r="H29" s="72">
        <v>5.6000000000000001E-2</v>
      </c>
      <c r="I29" s="73">
        <f t="shared" si="0"/>
        <v>5040</v>
      </c>
      <c r="J29" s="14">
        <v>1</v>
      </c>
      <c r="K29" s="13"/>
      <c r="L29" s="17" t="s">
        <v>188</v>
      </c>
      <c r="M29" s="22" t="s">
        <v>64</v>
      </c>
      <c r="N29" t="s">
        <v>125</v>
      </c>
    </row>
    <row r="30" spans="1:16" x14ac:dyDescent="0.3">
      <c r="A30" s="43"/>
      <c r="C30" s="13">
        <v>46154</v>
      </c>
      <c r="D30" s="14"/>
      <c r="E30" s="14"/>
      <c r="F30" s="14"/>
      <c r="G30" s="15">
        <v>200000</v>
      </c>
      <c r="H30" s="72">
        <v>5.6000000000000001E-2</v>
      </c>
      <c r="I30" s="73">
        <f t="shared" si="0"/>
        <v>11200</v>
      </c>
      <c r="J30" s="14">
        <v>2</v>
      </c>
      <c r="K30" s="13"/>
      <c r="L30" s="17" t="s">
        <v>199</v>
      </c>
      <c r="M30" s="22" t="s">
        <v>64</v>
      </c>
    </row>
    <row r="31" spans="1:16" x14ac:dyDescent="0.3">
      <c r="A31" s="43"/>
      <c r="C31" s="13">
        <v>46153</v>
      </c>
      <c r="D31" s="14"/>
      <c r="E31" s="14"/>
      <c r="F31" s="14"/>
      <c r="G31" s="15">
        <v>59000</v>
      </c>
      <c r="H31" s="72">
        <v>5.6000000000000001E-2</v>
      </c>
      <c r="I31" s="73">
        <f t="shared" si="0"/>
        <v>3304</v>
      </c>
      <c r="J31" s="14">
        <v>2</v>
      </c>
      <c r="K31" s="13"/>
      <c r="L31" s="17" t="s">
        <v>200</v>
      </c>
      <c r="M31" s="22" t="s">
        <v>64</v>
      </c>
    </row>
    <row r="32" spans="1:16" x14ac:dyDescent="0.3">
      <c r="A32" s="43"/>
      <c r="C32" s="13">
        <v>46161</v>
      </c>
      <c r="D32" s="14"/>
      <c r="E32" s="14"/>
      <c r="F32" s="14"/>
      <c r="G32" s="15">
        <v>140000</v>
      </c>
      <c r="H32" s="72">
        <v>5.6000000000000001E-2</v>
      </c>
      <c r="I32" s="73">
        <f t="shared" si="0"/>
        <v>7840</v>
      </c>
      <c r="J32" s="14">
        <v>1</v>
      </c>
      <c r="K32" s="13"/>
      <c r="L32" s="17" t="s">
        <v>201</v>
      </c>
      <c r="M32" s="22" t="s">
        <v>64</v>
      </c>
      <c r="N32" t="s">
        <v>125</v>
      </c>
    </row>
    <row r="33" spans="3:16" x14ac:dyDescent="0.3">
      <c r="C33" s="1" t="s">
        <v>61</v>
      </c>
      <c r="D33" s="2"/>
      <c r="E33" s="2"/>
      <c r="F33" s="2"/>
      <c r="G33" s="39">
        <f>SUM(G5:G32)</f>
        <v>3187000</v>
      </c>
      <c r="H33" s="4"/>
      <c r="I33" s="39">
        <f>SUM(I5:I32)</f>
        <v>178472</v>
      </c>
      <c r="J33" s="2"/>
      <c r="K33" s="1"/>
      <c r="L33" s="6"/>
    </row>
    <row r="34" spans="3:16" x14ac:dyDescent="0.3">
      <c r="O34" s="63">
        <v>20500</v>
      </c>
      <c r="P34" s="63">
        <f>O34*7%</f>
        <v>1435.0000000000002</v>
      </c>
    </row>
    <row r="36" spans="3:16" x14ac:dyDescent="0.3">
      <c r="M36">
        <v>3000</v>
      </c>
    </row>
    <row r="38" spans="3:16" x14ac:dyDescent="0.3">
      <c r="K38">
        <v>1350</v>
      </c>
    </row>
    <row r="40" spans="3:16" x14ac:dyDescent="0.3">
      <c r="G40">
        <f>90000*0.8%</f>
        <v>720</v>
      </c>
    </row>
  </sheetData>
  <autoFilter ref="C4:M34" xr:uid="{DC098CE8-090C-4D27-96CA-7E36A7F4A047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B6E6-EA4C-4081-8157-9C1ACD3F7D72}">
  <dimension ref="B6:N26"/>
  <sheetViews>
    <sheetView topLeftCell="A2" workbookViewId="0">
      <selection activeCell="H24" sqref="H4:I24"/>
    </sheetView>
  </sheetViews>
  <sheetFormatPr defaultRowHeight="14.4" x14ac:dyDescent="0.3"/>
  <cols>
    <col min="1" max="2" width="8.88671875" style="47"/>
    <col min="3" max="3" width="10.109375" style="52" bestFit="1" customWidth="1"/>
    <col min="4" max="4" width="8.88671875" style="47"/>
    <col min="5" max="5" width="31.33203125" style="47" bestFit="1" customWidth="1"/>
    <col min="6" max="6" width="8.88671875" style="47"/>
    <col min="7" max="7" width="15.77734375" style="47" bestFit="1" customWidth="1"/>
    <col min="8" max="8" width="20.5546875" style="47" bestFit="1" customWidth="1"/>
    <col min="9" max="9" width="20.33203125" style="47" bestFit="1" customWidth="1"/>
    <col min="10" max="10" width="12.88671875" style="47" bestFit="1" customWidth="1"/>
    <col min="11" max="11" width="8.88671875" style="47"/>
    <col min="12" max="12" width="16.109375" style="47" bestFit="1" customWidth="1"/>
    <col min="13" max="13" width="12.77734375" style="47" bestFit="1" customWidth="1"/>
    <col min="14" max="14" width="12.88671875" style="47" bestFit="1" customWidth="1"/>
    <col min="15" max="16384" width="8.88671875" style="47"/>
  </cols>
  <sheetData>
    <row r="6" spans="2:14" x14ac:dyDescent="0.3">
      <c r="C6" s="113" t="s">
        <v>94</v>
      </c>
      <c r="D6" s="113"/>
      <c r="E6" s="113"/>
      <c r="H6" s="48"/>
      <c r="I6" s="48"/>
    </row>
    <row r="7" spans="2:14" ht="15.6" x14ac:dyDescent="0.3">
      <c r="B7" s="47" t="s">
        <v>207</v>
      </c>
      <c r="C7" s="50" t="s">
        <v>85</v>
      </c>
      <c r="D7" s="49" t="s">
        <v>86</v>
      </c>
      <c r="E7" s="53" t="s">
        <v>88</v>
      </c>
      <c r="H7" s="66"/>
      <c r="I7" s="66"/>
    </row>
    <row r="8" spans="2:14" x14ac:dyDescent="0.3">
      <c r="B8" s="47">
        <v>0.75</v>
      </c>
      <c r="C8" s="51">
        <v>1</v>
      </c>
      <c r="D8" s="48">
        <v>0.7</v>
      </c>
      <c r="E8" s="48"/>
      <c r="H8" s="66"/>
      <c r="I8" s="66"/>
    </row>
    <row r="9" spans="2:14" x14ac:dyDescent="0.3">
      <c r="B9" s="47">
        <v>0</v>
      </c>
      <c r="C9" s="51">
        <v>2</v>
      </c>
      <c r="D9" s="48">
        <v>0</v>
      </c>
      <c r="E9" s="48"/>
      <c r="H9" s="66"/>
      <c r="I9" s="66"/>
    </row>
    <row r="10" spans="2:14" x14ac:dyDescent="0.3">
      <c r="B10" s="47">
        <v>0.65</v>
      </c>
      <c r="C10" s="51">
        <v>3</v>
      </c>
      <c r="D10" s="48">
        <v>0.35</v>
      </c>
      <c r="E10" s="48"/>
      <c r="H10" s="66"/>
      <c r="I10" s="66"/>
      <c r="K10" s="114"/>
      <c r="L10" s="115"/>
      <c r="M10" s="114"/>
      <c r="N10" s="115"/>
    </row>
    <row r="11" spans="2:14" x14ac:dyDescent="0.3">
      <c r="B11" s="47">
        <v>0.65</v>
      </c>
      <c r="C11" s="51">
        <v>4</v>
      </c>
      <c r="D11" s="48">
        <v>0.35</v>
      </c>
      <c r="E11" s="48"/>
      <c r="H11" s="66"/>
      <c r="I11" s="66"/>
      <c r="K11" s="66"/>
      <c r="L11" s="66"/>
      <c r="M11" s="66"/>
      <c r="N11" s="66"/>
    </row>
    <row r="12" spans="2:14" x14ac:dyDescent="0.3">
      <c r="B12" s="47">
        <v>0.65</v>
      </c>
      <c r="C12" s="51">
        <v>5</v>
      </c>
      <c r="D12" s="48">
        <v>0.35</v>
      </c>
      <c r="E12" s="48"/>
      <c r="H12" s="66"/>
      <c r="I12" s="66"/>
      <c r="K12" s="66"/>
      <c r="L12" s="67"/>
      <c r="M12" s="66"/>
      <c r="N12" s="67"/>
    </row>
    <row r="13" spans="2:14" x14ac:dyDescent="0.3">
      <c r="B13" s="47">
        <v>0.4</v>
      </c>
      <c r="C13" s="51">
        <v>6</v>
      </c>
      <c r="D13" s="48">
        <v>0.75</v>
      </c>
      <c r="E13" s="48"/>
      <c r="H13" s="66"/>
      <c r="I13" s="66"/>
      <c r="K13" s="66"/>
      <c r="L13" s="67"/>
      <c r="M13" s="66"/>
      <c r="N13" s="67"/>
    </row>
    <row r="14" spans="2:14" x14ac:dyDescent="0.3">
      <c r="B14" s="47">
        <f>SUM(B8:B13)</f>
        <v>3.0999999999999996</v>
      </c>
      <c r="C14" s="51" t="s">
        <v>87</v>
      </c>
      <c r="D14" s="48">
        <f>SUM(D8:D13)</f>
        <v>2.5</v>
      </c>
      <c r="E14" s="48"/>
      <c r="H14" s="66"/>
      <c r="I14" s="66"/>
      <c r="K14" s="66"/>
      <c r="L14" s="67"/>
      <c r="M14" s="66"/>
      <c r="N14" s="67"/>
    </row>
    <row r="15" spans="2:14" x14ac:dyDescent="0.3">
      <c r="H15" s="66"/>
      <c r="I15" s="66"/>
      <c r="K15" s="66"/>
      <c r="L15" s="68"/>
      <c r="M15" s="66"/>
      <c r="N15" s="68"/>
    </row>
    <row r="18" spans="3:5" x14ac:dyDescent="0.3">
      <c r="C18" s="113" t="s">
        <v>94</v>
      </c>
      <c r="D18" s="113"/>
      <c r="E18" s="113"/>
    </row>
    <row r="19" spans="3:5" ht="15.6" x14ac:dyDescent="0.3">
      <c r="C19" s="50" t="s">
        <v>85</v>
      </c>
      <c r="D19" s="49" t="s">
        <v>86</v>
      </c>
      <c r="E19" s="53" t="s">
        <v>158</v>
      </c>
    </row>
    <row r="20" spans="3:5" x14ac:dyDescent="0.3">
      <c r="C20" s="51">
        <v>1</v>
      </c>
      <c r="D20" s="48">
        <v>0.7</v>
      </c>
      <c r="E20" s="48"/>
    </row>
    <row r="21" spans="3:5" x14ac:dyDescent="0.3">
      <c r="C21" s="51">
        <v>2</v>
      </c>
      <c r="D21" s="48"/>
      <c r="E21" s="48"/>
    </row>
    <row r="22" spans="3:5" x14ac:dyDescent="0.3">
      <c r="C22" s="51">
        <v>3</v>
      </c>
      <c r="D22" s="48">
        <v>0.35</v>
      </c>
      <c r="E22" s="48"/>
    </row>
    <row r="23" spans="3:5" x14ac:dyDescent="0.3">
      <c r="C23" s="51">
        <v>4</v>
      </c>
      <c r="D23" s="48">
        <v>0.35</v>
      </c>
      <c r="E23" s="48"/>
    </row>
    <row r="24" spans="3:5" x14ac:dyDescent="0.3">
      <c r="C24" s="51">
        <v>5</v>
      </c>
      <c r="D24" s="48">
        <f>0.35+0.25</f>
        <v>0.6</v>
      </c>
      <c r="E24" s="48"/>
    </row>
    <row r="25" spans="3:5" x14ac:dyDescent="0.3">
      <c r="C25" s="51">
        <v>6</v>
      </c>
      <c r="D25" s="48"/>
      <c r="E25" s="48"/>
    </row>
    <row r="26" spans="3:5" x14ac:dyDescent="0.3">
      <c r="C26" s="51" t="s">
        <v>87</v>
      </c>
      <c r="D26" s="48">
        <f>SUM(D20:D25)</f>
        <v>2</v>
      </c>
      <c r="E26" s="48"/>
    </row>
  </sheetData>
  <mergeCells count="4">
    <mergeCell ref="C6:E6"/>
    <mergeCell ref="K10:L10"/>
    <mergeCell ref="M10:N10"/>
    <mergeCell ref="C18:E18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6772-0F25-4F36-8CD7-F2AA4B0D7B0B}">
  <dimension ref="C5:P27"/>
  <sheetViews>
    <sheetView workbookViewId="0">
      <selection activeCell="E28" sqref="E28"/>
    </sheetView>
  </sheetViews>
  <sheetFormatPr defaultRowHeight="14.4" x14ac:dyDescent="0.3"/>
  <cols>
    <col min="3" max="3" width="12.88671875" style="63" bestFit="1" customWidth="1"/>
    <col min="4" max="4" width="16" style="63" bestFit="1" customWidth="1"/>
    <col min="5" max="5" width="12.88671875" style="63" bestFit="1" customWidth="1"/>
    <col min="6" max="6" width="14" style="63" bestFit="1" customWidth="1"/>
    <col min="7" max="7" width="14.21875" style="85" bestFit="1" customWidth="1"/>
    <col min="8" max="8" width="15.5546875" style="63" bestFit="1" customWidth="1"/>
    <col min="11" max="11" width="16" bestFit="1" customWidth="1"/>
    <col min="12" max="12" width="12.88671875" style="63" bestFit="1" customWidth="1"/>
    <col min="13" max="13" width="14.44140625" style="63" bestFit="1" customWidth="1"/>
    <col min="14" max="14" width="12.88671875" style="63" bestFit="1" customWidth="1"/>
    <col min="15" max="16" width="8.88671875" style="63"/>
  </cols>
  <sheetData>
    <row r="5" spans="3:14" x14ac:dyDescent="0.3">
      <c r="C5" s="116" t="s">
        <v>136</v>
      </c>
      <c r="D5" s="116"/>
      <c r="E5" s="116"/>
      <c r="F5" s="116"/>
      <c r="G5" s="116"/>
      <c r="J5" s="117" t="s">
        <v>137</v>
      </c>
      <c r="K5" s="117"/>
      <c r="L5" s="117"/>
      <c r="M5" s="117"/>
      <c r="N5" s="117"/>
    </row>
    <row r="6" spans="3:14" x14ac:dyDescent="0.3">
      <c r="C6" s="88"/>
      <c r="D6" s="88"/>
      <c r="E6" s="88"/>
      <c r="F6" s="88" t="s">
        <v>135</v>
      </c>
      <c r="G6" s="89">
        <v>-3891</v>
      </c>
      <c r="J6" s="86" t="s">
        <v>115</v>
      </c>
      <c r="K6" s="86">
        <f>810+360+360</f>
        <v>1530</v>
      </c>
      <c r="L6" s="86"/>
      <c r="M6" s="86" t="s">
        <v>135</v>
      </c>
      <c r="N6" s="87">
        <f>-1300</f>
        <v>-1300</v>
      </c>
    </row>
    <row r="7" spans="3:14" x14ac:dyDescent="0.3">
      <c r="C7" s="88" t="s">
        <v>127</v>
      </c>
      <c r="D7" s="88">
        <v>6323.1</v>
      </c>
      <c r="E7" s="88"/>
      <c r="F7" s="88" t="s">
        <v>129</v>
      </c>
      <c r="G7" s="89">
        <v>-2500</v>
      </c>
      <c r="J7" s="86" t="s">
        <v>127</v>
      </c>
      <c r="K7" s="86">
        <v>1000</v>
      </c>
      <c r="L7" s="86"/>
      <c r="M7" s="86" t="s">
        <v>129</v>
      </c>
      <c r="N7" s="87">
        <v>-1260</v>
      </c>
    </row>
    <row r="8" spans="3:14" x14ac:dyDescent="0.3">
      <c r="C8" s="88" t="s">
        <v>141</v>
      </c>
      <c r="D8" s="88">
        <v>0</v>
      </c>
      <c r="E8" s="88"/>
      <c r="F8" s="88" t="s">
        <v>130</v>
      </c>
      <c r="G8" s="89"/>
      <c r="J8" s="86" t="s">
        <v>102</v>
      </c>
      <c r="K8" s="86">
        <v>3412.71</v>
      </c>
      <c r="L8" s="86"/>
      <c r="M8" s="86" t="s">
        <v>143</v>
      </c>
      <c r="N8" s="87">
        <v>-250</v>
      </c>
    </row>
    <row r="9" spans="3:14" x14ac:dyDescent="0.3">
      <c r="C9" s="88" t="s">
        <v>128</v>
      </c>
      <c r="D9" s="88">
        <v>2600</v>
      </c>
      <c r="E9" s="88"/>
      <c r="F9" s="88" t="s">
        <v>143</v>
      </c>
      <c r="G9" s="89"/>
      <c r="J9" s="86" t="s">
        <v>128</v>
      </c>
      <c r="K9" s="86">
        <f>2600+3960</f>
        <v>6560</v>
      </c>
      <c r="L9" s="86"/>
      <c r="M9" s="86" t="s">
        <v>144</v>
      </c>
      <c r="N9" s="87">
        <v>-300</v>
      </c>
    </row>
    <row r="10" spans="3:14" x14ac:dyDescent="0.3">
      <c r="C10" s="88" t="s">
        <v>87</v>
      </c>
      <c r="D10" s="88">
        <f>SUM(D7:D9)</f>
        <v>8923.1</v>
      </c>
      <c r="E10" s="88"/>
      <c r="F10" s="88" t="s">
        <v>144</v>
      </c>
      <c r="G10" s="89"/>
      <c r="J10" s="86" t="s">
        <v>87</v>
      </c>
      <c r="K10" s="86">
        <f>SUM(K6:K9)</f>
        <v>12502.71</v>
      </c>
      <c r="L10" s="86"/>
      <c r="M10" s="86" t="s">
        <v>142</v>
      </c>
      <c r="N10" s="87">
        <v>-3500</v>
      </c>
    </row>
    <row r="11" spans="3:14" x14ac:dyDescent="0.3">
      <c r="C11" s="88"/>
      <c r="D11" s="88"/>
      <c r="E11" s="88"/>
      <c r="F11" s="88" t="s">
        <v>87</v>
      </c>
      <c r="G11" s="89">
        <f>SUM(G6:G10)</f>
        <v>-6391</v>
      </c>
      <c r="J11" s="86"/>
      <c r="K11" s="86"/>
      <c r="L11" s="86"/>
      <c r="M11" s="63" t="s">
        <v>155</v>
      </c>
      <c r="N11" s="63">
        <f>-1700-1518</f>
        <v>-3218</v>
      </c>
    </row>
    <row r="12" spans="3:14" x14ac:dyDescent="0.3">
      <c r="C12" s="88"/>
      <c r="D12" s="88"/>
      <c r="E12" s="88"/>
      <c r="F12" s="88"/>
      <c r="G12" s="89"/>
      <c r="J12" s="86"/>
      <c r="K12" s="86"/>
      <c r="L12" s="86"/>
      <c r="M12" s="86" t="s">
        <v>146</v>
      </c>
      <c r="N12" s="87">
        <f>-550-1000</f>
        <v>-1550</v>
      </c>
    </row>
    <row r="13" spans="3:14" x14ac:dyDescent="0.3">
      <c r="C13" s="88"/>
      <c r="D13" s="88"/>
      <c r="E13" s="88"/>
      <c r="F13" s="88"/>
      <c r="G13" s="89"/>
      <c r="J13" s="86"/>
      <c r="K13" s="86"/>
      <c r="L13" s="86"/>
      <c r="M13" s="86" t="s">
        <v>87</v>
      </c>
      <c r="N13" s="87">
        <f>SUM(N6:N12)</f>
        <v>-11378</v>
      </c>
    </row>
    <row r="14" spans="3:14" x14ac:dyDescent="0.3">
      <c r="C14" s="88"/>
      <c r="D14" s="88"/>
      <c r="E14" s="88"/>
      <c r="F14" s="88"/>
      <c r="G14" s="89"/>
      <c r="J14" s="86"/>
      <c r="K14" s="86"/>
      <c r="L14" s="86"/>
      <c r="M14" s="86"/>
      <c r="N14" s="87"/>
    </row>
    <row r="15" spans="3:14" x14ac:dyDescent="0.3">
      <c r="C15" s="88"/>
      <c r="D15" s="88"/>
      <c r="E15" s="88"/>
      <c r="F15" s="88" t="s">
        <v>132</v>
      </c>
      <c r="G15" s="88">
        <f>D10+G11</f>
        <v>2532.1000000000004</v>
      </c>
      <c r="J15" s="86"/>
      <c r="K15" s="86"/>
      <c r="L15" s="86"/>
      <c r="M15" s="86" t="s">
        <v>132</v>
      </c>
      <c r="N15" s="86">
        <f>K10+N13</f>
        <v>1124.7099999999991</v>
      </c>
    </row>
    <row r="16" spans="3:14" x14ac:dyDescent="0.3">
      <c r="C16" s="88"/>
      <c r="D16" s="88" t="s">
        <v>131</v>
      </c>
      <c r="E16" s="88">
        <v>-5000</v>
      </c>
      <c r="F16" s="88"/>
      <c r="G16" s="89"/>
      <c r="J16" s="86"/>
      <c r="K16" s="86" t="s">
        <v>131</v>
      </c>
      <c r="L16" s="86">
        <v>-5000</v>
      </c>
      <c r="M16" s="86"/>
      <c r="N16" s="87"/>
    </row>
    <row r="17" spans="3:14" x14ac:dyDescent="0.3">
      <c r="C17" s="88"/>
      <c r="D17" s="88" t="s">
        <v>133</v>
      </c>
      <c r="E17" s="88">
        <f>G15+E16</f>
        <v>-2467.8999999999996</v>
      </c>
      <c r="F17" s="88"/>
      <c r="G17" s="89"/>
      <c r="J17" s="86"/>
      <c r="K17" s="86" t="s">
        <v>133</v>
      </c>
      <c r="L17" s="86">
        <f>N15+L16</f>
        <v>-3875.2900000000009</v>
      </c>
      <c r="M17" s="86"/>
      <c r="N17" s="87"/>
    </row>
    <row r="18" spans="3:14" x14ac:dyDescent="0.3">
      <c r="C18" s="88"/>
      <c r="D18" s="88"/>
      <c r="E18" s="88"/>
      <c r="F18" s="88"/>
      <c r="G18" s="89"/>
      <c r="J18" s="86"/>
      <c r="K18" s="86"/>
      <c r="L18" s="86"/>
      <c r="M18" s="86"/>
      <c r="N18" s="87"/>
    </row>
    <row r="19" spans="3:14" x14ac:dyDescent="0.3">
      <c r="C19" s="88"/>
      <c r="D19" s="88"/>
      <c r="E19" s="88"/>
      <c r="F19" s="88"/>
      <c r="G19" s="89"/>
      <c r="J19" s="86"/>
      <c r="K19" s="86"/>
      <c r="L19" s="86"/>
      <c r="M19" s="86"/>
      <c r="N19" s="87"/>
    </row>
    <row r="20" spans="3:14" x14ac:dyDescent="0.3">
      <c r="C20" s="88"/>
      <c r="D20" s="88" t="s">
        <v>134</v>
      </c>
      <c r="E20" s="88">
        <f>12512.95+5000</f>
        <v>17512.95</v>
      </c>
      <c r="F20" s="88"/>
      <c r="G20" s="89"/>
      <c r="J20" s="86"/>
      <c r="K20" s="86" t="s">
        <v>134</v>
      </c>
      <c r="L20" s="86">
        <f>12512.95+5000</f>
        <v>17512.95</v>
      </c>
      <c r="M20" s="86"/>
      <c r="N20" s="87"/>
    </row>
    <row r="25" spans="3:14" x14ac:dyDescent="0.3">
      <c r="G25" s="85" t="s">
        <v>138</v>
      </c>
      <c r="H25" s="90">
        <f>8759*6</f>
        <v>52554</v>
      </c>
    </row>
    <row r="26" spans="3:14" x14ac:dyDescent="0.3">
      <c r="G26" s="85" t="s">
        <v>139</v>
      </c>
      <c r="H26" s="63">
        <v>21531.99</v>
      </c>
    </row>
    <row r="27" spans="3:14" x14ac:dyDescent="0.3">
      <c r="G27" s="85" t="s">
        <v>140</v>
      </c>
      <c r="H27" s="63">
        <f>H25-H26</f>
        <v>31022.01</v>
      </c>
    </row>
  </sheetData>
  <mergeCells count="2">
    <mergeCell ref="C5:G5"/>
    <mergeCell ref="J5:N5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FD38-6A6C-4F1F-A42F-CB6B6736325A}">
  <dimension ref="B3:V31"/>
  <sheetViews>
    <sheetView topLeftCell="C1" workbookViewId="0">
      <selection activeCell="M4" sqref="J4:M4"/>
    </sheetView>
  </sheetViews>
  <sheetFormatPr defaultRowHeight="14.4" x14ac:dyDescent="0.3"/>
  <cols>
    <col min="3" max="3" width="10.33203125" bestFit="1" customWidth="1"/>
    <col min="4" max="4" width="15.5546875" style="63" bestFit="1" customWidth="1"/>
    <col min="5" max="5" width="23.88671875" bestFit="1" customWidth="1"/>
    <col min="6" max="6" width="10.33203125" bestFit="1" customWidth="1"/>
    <col min="7" max="7" width="9.88671875" bestFit="1" customWidth="1"/>
    <col min="8" max="8" width="9.5546875" bestFit="1" customWidth="1"/>
    <col min="9" max="9" width="14" bestFit="1" customWidth="1"/>
    <col min="10" max="10" width="23.88671875" bestFit="1" customWidth="1"/>
    <col min="11" max="11" width="14" bestFit="1" customWidth="1"/>
    <col min="15" max="15" width="13.88671875" bestFit="1" customWidth="1"/>
    <col min="16" max="16" width="5" bestFit="1" customWidth="1"/>
    <col min="17" max="17" width="31.33203125" bestFit="1" customWidth="1"/>
    <col min="20" max="20" width="13.44140625" bestFit="1" customWidth="1"/>
    <col min="21" max="21" width="6" bestFit="1" customWidth="1"/>
    <col min="22" max="22" width="30.33203125" bestFit="1" customWidth="1"/>
  </cols>
  <sheetData>
    <row r="3" spans="2:22" x14ac:dyDescent="0.3">
      <c r="B3" s="118" t="s">
        <v>203</v>
      </c>
      <c r="C3" s="118"/>
      <c r="D3" s="118"/>
      <c r="E3" s="118"/>
      <c r="F3" s="118"/>
      <c r="G3" s="118"/>
      <c r="H3" s="47">
        <v>1</v>
      </c>
      <c r="I3" s="47">
        <v>2</v>
      </c>
      <c r="J3" s="47">
        <v>3</v>
      </c>
      <c r="K3" s="47">
        <v>4</v>
      </c>
      <c r="L3" s="47">
        <v>5</v>
      </c>
      <c r="M3" s="47">
        <v>6</v>
      </c>
      <c r="N3" s="47"/>
      <c r="O3" s="113" t="s">
        <v>94</v>
      </c>
      <c r="P3" s="113"/>
      <c r="Q3" s="113"/>
      <c r="T3" s="113" t="s">
        <v>162</v>
      </c>
      <c r="U3" s="113"/>
      <c r="V3" s="113"/>
    </row>
    <row r="4" spans="2:22" ht="15.6" x14ac:dyDescent="0.3">
      <c r="C4" t="s">
        <v>150</v>
      </c>
      <c r="D4" s="63" t="s">
        <v>151</v>
      </c>
      <c r="E4" t="s">
        <v>152</v>
      </c>
      <c r="F4" t="s">
        <v>153</v>
      </c>
      <c r="G4" t="s">
        <v>154</v>
      </c>
      <c r="N4" s="47"/>
      <c r="O4" s="50" t="s">
        <v>85</v>
      </c>
      <c r="P4" s="49" t="s">
        <v>86</v>
      </c>
      <c r="Q4" s="53" t="s">
        <v>193</v>
      </c>
      <c r="T4" s="50" t="s">
        <v>85</v>
      </c>
      <c r="U4" s="49" t="s">
        <v>86</v>
      </c>
      <c r="V4" s="53" t="s">
        <v>195</v>
      </c>
    </row>
    <row r="5" spans="2:22" x14ac:dyDescent="0.3">
      <c r="B5" s="62" t="s">
        <v>173</v>
      </c>
      <c r="C5" s="109">
        <v>46067</v>
      </c>
      <c r="D5" s="74">
        <v>90000</v>
      </c>
      <c r="E5" s="62"/>
      <c r="F5" s="62"/>
      <c r="G5" s="110">
        <v>2.5000000000000001E-2</v>
      </c>
      <c r="H5" s="72" t="s">
        <v>64</v>
      </c>
      <c r="I5" s="19" t="s">
        <v>184</v>
      </c>
      <c r="J5" s="19" t="s">
        <v>64</v>
      </c>
      <c r="K5" s="62" t="s">
        <v>64</v>
      </c>
      <c r="L5" s="62"/>
      <c r="M5" s="62">
        <v>0.75</v>
      </c>
      <c r="N5" s="47"/>
      <c r="O5" s="51">
        <v>1</v>
      </c>
      <c r="P5" s="48">
        <v>0.7</v>
      </c>
      <c r="Q5" s="48"/>
      <c r="T5" s="51">
        <v>1</v>
      </c>
      <c r="U5" s="48">
        <v>7.4999999999999997E-2</v>
      </c>
      <c r="V5" s="48"/>
    </row>
    <row r="6" spans="2:22" x14ac:dyDescent="0.3">
      <c r="B6" s="62" t="s">
        <v>172</v>
      </c>
      <c r="C6" s="109">
        <v>46049</v>
      </c>
      <c r="D6" s="74">
        <v>120000</v>
      </c>
      <c r="E6" s="62"/>
      <c r="F6" s="62"/>
      <c r="G6" s="110">
        <v>2.5000000000000001E-2</v>
      </c>
      <c r="H6" s="72" t="s">
        <v>64</v>
      </c>
      <c r="I6" s="19" t="s">
        <v>184</v>
      </c>
      <c r="J6" s="19" t="s">
        <v>64</v>
      </c>
      <c r="K6" s="19" t="s">
        <v>64</v>
      </c>
      <c r="L6" s="62"/>
      <c r="M6" s="62">
        <v>0.75</v>
      </c>
      <c r="N6" s="47"/>
      <c r="O6" s="51">
        <v>2</v>
      </c>
      <c r="P6" s="48">
        <v>0</v>
      </c>
      <c r="Q6" s="48"/>
      <c r="T6" s="51">
        <v>2</v>
      </c>
      <c r="U6" s="48">
        <v>7.4999999999999997E-2</v>
      </c>
      <c r="V6" s="48"/>
    </row>
    <row r="7" spans="2:22" x14ac:dyDescent="0.3">
      <c r="B7" s="62" t="s">
        <v>174</v>
      </c>
      <c r="C7" s="109">
        <v>46043</v>
      </c>
      <c r="D7" s="74">
        <v>54000</v>
      </c>
      <c r="E7" s="62"/>
      <c r="F7" s="62"/>
      <c r="G7" s="111">
        <v>2.5000000000000001E-2</v>
      </c>
      <c r="H7" s="72" t="s">
        <v>64</v>
      </c>
      <c r="I7" s="19" t="s">
        <v>184</v>
      </c>
      <c r="J7" s="19" t="s">
        <v>64</v>
      </c>
      <c r="K7" s="19" t="s">
        <v>64</v>
      </c>
      <c r="L7" s="62"/>
      <c r="M7" s="62">
        <v>0.75</v>
      </c>
      <c r="N7" s="47"/>
      <c r="O7" s="51">
        <v>3</v>
      </c>
      <c r="P7" s="48">
        <v>0.35</v>
      </c>
      <c r="Q7" s="48"/>
      <c r="T7" s="51">
        <v>3</v>
      </c>
      <c r="U7" s="48">
        <v>7.4999999999999997E-2</v>
      </c>
      <c r="V7" s="48"/>
    </row>
    <row r="8" spans="2:22" x14ac:dyDescent="0.3">
      <c r="B8" s="62" t="s">
        <v>178</v>
      </c>
      <c r="C8" s="109">
        <v>46104</v>
      </c>
      <c r="D8" s="74">
        <v>230000</v>
      </c>
      <c r="E8" s="62"/>
      <c r="F8" s="62"/>
      <c r="G8" s="111">
        <v>2.5000000000000001E-2</v>
      </c>
      <c r="H8" s="72" t="s">
        <v>64</v>
      </c>
      <c r="I8" s="19" t="s">
        <v>184</v>
      </c>
      <c r="J8" s="19" t="s">
        <v>64</v>
      </c>
      <c r="K8" s="62"/>
      <c r="L8" s="62"/>
      <c r="M8" s="62">
        <v>0.75</v>
      </c>
      <c r="N8" s="47"/>
      <c r="O8" s="51">
        <v>4</v>
      </c>
      <c r="P8" s="48">
        <v>0.35</v>
      </c>
      <c r="Q8" s="48"/>
      <c r="T8" s="51">
        <v>4</v>
      </c>
      <c r="U8" s="48">
        <v>7.4999999999999997E-2</v>
      </c>
      <c r="V8" s="48"/>
    </row>
    <row r="9" spans="2:22" x14ac:dyDescent="0.3">
      <c r="B9" s="62" t="s">
        <v>202</v>
      </c>
      <c r="C9" s="109">
        <v>46192</v>
      </c>
      <c r="D9" s="74">
        <v>140000</v>
      </c>
      <c r="E9" s="62"/>
      <c r="F9" s="62"/>
      <c r="G9" s="111">
        <v>2.5000000000000001E-2</v>
      </c>
      <c r="H9" s="72" t="s">
        <v>64</v>
      </c>
      <c r="I9" s="62" t="s">
        <v>208</v>
      </c>
      <c r="J9" s="62"/>
      <c r="K9" s="62"/>
      <c r="L9" s="62"/>
      <c r="M9" s="62"/>
      <c r="N9" s="47"/>
      <c r="O9" s="51">
        <v>5</v>
      </c>
      <c r="P9" s="48">
        <v>0.35</v>
      </c>
      <c r="Q9" s="48"/>
      <c r="T9" s="51">
        <v>5</v>
      </c>
      <c r="U9" s="48">
        <v>7.4999999999999997E-2</v>
      </c>
      <c r="V9" s="48"/>
    </row>
    <row r="10" spans="2:22" x14ac:dyDescent="0.3">
      <c r="B10" s="112" t="s">
        <v>42</v>
      </c>
      <c r="D10" s="63">
        <f>SUM(D5:D9)</f>
        <v>634000</v>
      </c>
      <c r="G10" s="97"/>
      <c r="N10" s="47"/>
      <c r="O10" s="51">
        <v>6</v>
      </c>
      <c r="P10" s="48">
        <v>0.75</v>
      </c>
      <c r="Q10" s="48"/>
      <c r="T10" s="51">
        <v>6</v>
      </c>
      <c r="U10" s="48">
        <v>7.4999999999999997E-2</v>
      </c>
      <c r="V10" s="48"/>
    </row>
    <row r="11" spans="2:22" x14ac:dyDescent="0.3">
      <c r="G11" s="97"/>
      <c r="N11" s="47"/>
      <c r="O11" s="51" t="s">
        <v>87</v>
      </c>
      <c r="P11" s="48">
        <f>SUM(P5:P10)</f>
        <v>2.5</v>
      </c>
      <c r="Q11" s="48"/>
      <c r="T11" s="51" t="s">
        <v>194</v>
      </c>
      <c r="U11" s="48">
        <v>0.75</v>
      </c>
      <c r="V11" s="48"/>
    </row>
    <row r="12" spans="2:22" x14ac:dyDescent="0.3">
      <c r="G12" s="97"/>
      <c r="T12" s="62" t="s">
        <v>87</v>
      </c>
      <c r="U12" s="62">
        <f>SUM(U5:U11)</f>
        <v>1.2</v>
      </c>
      <c r="V12" s="62"/>
    </row>
    <row r="13" spans="2:22" x14ac:dyDescent="0.3">
      <c r="C13" t="s">
        <v>87</v>
      </c>
      <c r="D13" s="63">
        <f>SUM(D5:D12)</f>
        <v>1268000</v>
      </c>
      <c r="G13" s="97"/>
    </row>
    <row r="14" spans="2:22" x14ac:dyDescent="0.3">
      <c r="O14" s="113"/>
      <c r="P14" s="113"/>
      <c r="Q14" s="113"/>
    </row>
    <row r="15" spans="2:22" ht="15.6" x14ac:dyDescent="0.3">
      <c r="J15" s="50" t="s">
        <v>85</v>
      </c>
      <c r="K15" s="49" t="s">
        <v>86</v>
      </c>
      <c r="L15" s="53" t="s">
        <v>192</v>
      </c>
    </row>
    <row r="16" spans="2:22" x14ac:dyDescent="0.3">
      <c r="J16" s="51">
        <v>1</v>
      </c>
      <c r="K16" s="48">
        <v>0.5</v>
      </c>
      <c r="L16" s="48"/>
    </row>
    <row r="17" spans="3:12" x14ac:dyDescent="0.3">
      <c r="C17" s="100"/>
      <c r="D17" s="100"/>
      <c r="E17" s="101"/>
      <c r="F17" s="101"/>
      <c r="J17" s="51">
        <v>2</v>
      </c>
      <c r="K17" s="48">
        <v>0.5</v>
      </c>
      <c r="L17" s="48"/>
    </row>
    <row r="18" spans="3:12" x14ac:dyDescent="0.3">
      <c r="C18" s="74"/>
      <c r="D18" s="74"/>
      <c r="E18" s="62"/>
      <c r="F18" s="74"/>
      <c r="J18" s="51">
        <v>3</v>
      </c>
      <c r="K18" s="48">
        <v>0.5</v>
      </c>
      <c r="L18" s="48"/>
    </row>
    <row r="19" spans="3:12" x14ac:dyDescent="0.3">
      <c r="C19" s="74"/>
      <c r="D19" s="74"/>
      <c r="E19" s="62"/>
      <c r="F19" s="74"/>
      <c r="J19" s="51">
        <v>4</v>
      </c>
      <c r="K19" s="48">
        <v>0.5</v>
      </c>
      <c r="L19" s="48"/>
    </row>
    <row r="20" spans="3:12" x14ac:dyDescent="0.3">
      <c r="C20" s="74"/>
      <c r="D20" s="74"/>
      <c r="E20" s="62"/>
      <c r="F20" s="74"/>
      <c r="J20" s="51">
        <v>5</v>
      </c>
      <c r="K20" s="48">
        <v>0.5</v>
      </c>
      <c r="L20" s="48"/>
    </row>
    <row r="21" spans="3:12" x14ac:dyDescent="0.3">
      <c r="C21" s="74"/>
      <c r="D21" s="74"/>
      <c r="E21" s="62"/>
      <c r="F21" s="74"/>
      <c r="J21" s="51">
        <v>6</v>
      </c>
      <c r="K21" s="48">
        <v>0.4</v>
      </c>
      <c r="L21" s="48"/>
    </row>
    <row r="22" spans="3:12" x14ac:dyDescent="0.3">
      <c r="C22" s="74"/>
      <c r="D22" s="74"/>
      <c r="E22" s="62"/>
      <c r="F22" s="99"/>
      <c r="J22" s="51" t="s">
        <v>87</v>
      </c>
      <c r="K22" s="48">
        <f>SUM(K16:K21)</f>
        <v>2.9</v>
      </c>
      <c r="L22" s="48"/>
    </row>
    <row r="23" spans="3:12" x14ac:dyDescent="0.3">
      <c r="K23" s="98"/>
    </row>
    <row r="24" spans="3:12" x14ac:dyDescent="0.3">
      <c r="K24" s="98"/>
    </row>
    <row r="27" spans="3:12" x14ac:dyDescent="0.3">
      <c r="C27" t="s">
        <v>180</v>
      </c>
      <c r="D27" s="63" t="s">
        <v>181</v>
      </c>
      <c r="E27" t="s">
        <v>182</v>
      </c>
      <c r="F27" t="s">
        <v>183</v>
      </c>
    </row>
    <row r="28" spans="3:12" x14ac:dyDescent="0.3">
      <c r="C28" t="s">
        <v>174</v>
      </c>
      <c r="D28" s="63">
        <v>54000</v>
      </c>
      <c r="E28" s="43">
        <v>46044</v>
      </c>
    </row>
    <row r="29" spans="3:12" x14ac:dyDescent="0.3">
      <c r="C29" t="s">
        <v>172</v>
      </c>
      <c r="D29" s="63">
        <v>120000</v>
      </c>
    </row>
    <row r="30" spans="3:12" x14ac:dyDescent="0.3">
      <c r="C30" t="s">
        <v>173</v>
      </c>
      <c r="D30" s="63">
        <v>54000</v>
      </c>
    </row>
    <row r="31" spans="3:12" x14ac:dyDescent="0.3">
      <c r="C31" t="s">
        <v>178</v>
      </c>
      <c r="D31" s="63">
        <v>230000</v>
      </c>
    </row>
  </sheetData>
  <mergeCells count="4">
    <mergeCell ref="O3:Q3"/>
    <mergeCell ref="O14:Q14"/>
    <mergeCell ref="T3:V3"/>
    <mergeCell ref="B3:G3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80F8C-45D8-481B-B012-1D5160570483}">
  <dimension ref="A1:C24"/>
  <sheetViews>
    <sheetView workbookViewId="0">
      <selection activeCell="A23" sqref="A23"/>
    </sheetView>
  </sheetViews>
  <sheetFormatPr defaultRowHeight="14.4" x14ac:dyDescent="0.3"/>
  <cols>
    <col min="1" max="1" width="10.33203125" bestFit="1" customWidth="1"/>
    <col min="2" max="2" width="12.88671875" bestFit="1" customWidth="1"/>
    <col min="3" max="3" width="14" bestFit="1" customWidth="1"/>
  </cols>
  <sheetData>
    <row r="1" spans="1:3" x14ac:dyDescent="0.3">
      <c r="A1" t="s">
        <v>185</v>
      </c>
      <c r="B1" s="63" t="s">
        <v>186</v>
      </c>
      <c r="C1" s="63" t="s">
        <v>187</v>
      </c>
    </row>
    <row r="2" spans="1:3" x14ac:dyDescent="0.3">
      <c r="A2" s="43">
        <v>45658</v>
      </c>
      <c r="B2" s="63">
        <f>3105+3410+3600</f>
        <v>10115</v>
      </c>
      <c r="C2" s="63">
        <v>4865.55</v>
      </c>
    </row>
    <row r="3" spans="1:3" x14ac:dyDescent="0.3">
      <c r="A3" s="43">
        <v>45689</v>
      </c>
      <c r="B3" s="63">
        <f>9516.5+2000</f>
        <v>11516.5</v>
      </c>
      <c r="C3" s="63">
        <f>3828.64+6251.27</f>
        <v>10079.91</v>
      </c>
    </row>
    <row r="4" spans="1:3" x14ac:dyDescent="0.3">
      <c r="A4" s="43">
        <v>45717</v>
      </c>
      <c r="B4" s="63">
        <v>9368.33</v>
      </c>
      <c r="C4" s="63">
        <v>9368.33</v>
      </c>
    </row>
    <row r="5" spans="1:3" x14ac:dyDescent="0.3">
      <c r="A5" s="43">
        <v>45748</v>
      </c>
      <c r="B5" s="63">
        <v>14771.15</v>
      </c>
      <c r="C5" s="63">
        <v>14771.15</v>
      </c>
    </row>
    <row r="6" spans="1:3" x14ac:dyDescent="0.3">
      <c r="A6" s="43">
        <v>45778</v>
      </c>
      <c r="B6" s="63">
        <v>9470</v>
      </c>
      <c r="C6" s="63">
        <v>9470</v>
      </c>
    </row>
    <row r="7" spans="1:3" x14ac:dyDescent="0.3">
      <c r="A7" s="43">
        <v>45809</v>
      </c>
      <c r="B7" s="63">
        <v>8435</v>
      </c>
      <c r="C7" s="63">
        <v>8435</v>
      </c>
    </row>
    <row r="8" spans="1:3" x14ac:dyDescent="0.3">
      <c r="A8" s="43">
        <v>45839</v>
      </c>
      <c r="B8" s="63">
        <v>9607.24</v>
      </c>
      <c r="C8" s="63">
        <v>9607.24</v>
      </c>
    </row>
    <row r="9" spans="1:3" x14ac:dyDescent="0.3">
      <c r="A9" s="43">
        <v>45870</v>
      </c>
      <c r="B9" s="63">
        <v>11450.38</v>
      </c>
      <c r="C9" s="63">
        <v>7813.38</v>
      </c>
    </row>
    <row r="10" spans="1:3" x14ac:dyDescent="0.3">
      <c r="A10" s="43">
        <v>45901</v>
      </c>
      <c r="B10" s="63">
        <v>16871.240000000002</v>
      </c>
      <c r="C10" s="63">
        <v>10508.36</v>
      </c>
    </row>
    <row r="11" spans="1:3" x14ac:dyDescent="0.3">
      <c r="A11" s="43">
        <v>45931</v>
      </c>
      <c r="B11" s="63">
        <v>13098.63</v>
      </c>
      <c r="C11" s="63">
        <v>13098.63</v>
      </c>
    </row>
    <row r="12" spans="1:3" x14ac:dyDescent="0.3">
      <c r="A12" s="43">
        <v>45962</v>
      </c>
      <c r="B12" s="63">
        <v>17716.16</v>
      </c>
      <c r="C12" s="63">
        <v>12753.43</v>
      </c>
    </row>
    <row r="13" spans="1:3" x14ac:dyDescent="0.3">
      <c r="A13" s="43">
        <v>45992</v>
      </c>
      <c r="B13" s="63">
        <v>15855.42</v>
      </c>
      <c r="C13" s="63">
        <v>10000</v>
      </c>
    </row>
    <row r="14" spans="1:3" x14ac:dyDescent="0.3">
      <c r="A14" s="43">
        <v>46023</v>
      </c>
      <c r="B14" s="63">
        <v>15677.21</v>
      </c>
      <c r="C14" s="63">
        <v>13000</v>
      </c>
    </row>
    <row r="15" spans="1:3" x14ac:dyDescent="0.3">
      <c r="A15" s="43">
        <v>46054</v>
      </c>
      <c r="B15" s="63">
        <v>20077</v>
      </c>
      <c r="C15" s="63">
        <v>15000</v>
      </c>
    </row>
    <row r="16" spans="1:3" x14ac:dyDescent="0.3">
      <c r="A16" s="43">
        <v>46082</v>
      </c>
      <c r="B16" s="63">
        <v>21060.21</v>
      </c>
      <c r="C16" s="63">
        <v>15000</v>
      </c>
    </row>
    <row r="17" spans="1:3" x14ac:dyDescent="0.3">
      <c r="A17" s="43">
        <v>46113</v>
      </c>
      <c r="B17" s="63">
        <v>10685</v>
      </c>
      <c r="C17" s="63">
        <v>18000</v>
      </c>
    </row>
    <row r="18" spans="1:3" x14ac:dyDescent="0.3">
      <c r="A18" s="43">
        <v>46143</v>
      </c>
      <c r="B18" s="63">
        <v>19075</v>
      </c>
      <c r="C18" s="63">
        <v>8321.93</v>
      </c>
    </row>
    <row r="19" spans="1:3" x14ac:dyDescent="0.3">
      <c r="A19" s="43">
        <v>46174</v>
      </c>
      <c r="B19" s="63"/>
      <c r="C19" s="63"/>
    </row>
    <row r="20" spans="1:3" x14ac:dyDescent="0.3">
      <c r="A20" s="43">
        <v>46204</v>
      </c>
      <c r="B20" s="63"/>
      <c r="C20" s="63"/>
    </row>
    <row r="21" spans="1:3" x14ac:dyDescent="0.3">
      <c r="A21" s="43">
        <v>46235</v>
      </c>
      <c r="B21" s="63"/>
      <c r="C21" s="63"/>
    </row>
    <row r="22" spans="1:3" x14ac:dyDescent="0.3">
      <c r="A22" s="43">
        <v>46266</v>
      </c>
      <c r="B22" s="63"/>
      <c r="C22" s="63"/>
    </row>
    <row r="23" spans="1:3" x14ac:dyDescent="0.3">
      <c r="A23" s="43"/>
      <c r="B23" s="63"/>
      <c r="C23" s="63"/>
    </row>
    <row r="24" spans="1:3" x14ac:dyDescent="0.3">
      <c r="A24" s="43"/>
      <c r="B24" s="63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CANOPUS</vt:lpstr>
      <vt:lpstr>BNI</vt:lpstr>
      <vt:lpstr>HS</vt:lpstr>
      <vt:lpstr>DISAL</vt:lpstr>
      <vt:lpstr>parcerias</vt:lpstr>
      <vt:lpstr>target</vt:lpstr>
      <vt:lpstr>cr7 vendas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vitor alves farias</dc:creator>
  <cp:lastModifiedBy>Joao vitor alves farias</cp:lastModifiedBy>
  <dcterms:created xsi:type="dcterms:W3CDTF">2025-04-15T19:22:34Z</dcterms:created>
  <dcterms:modified xsi:type="dcterms:W3CDTF">2026-05-29T15:44:58Z</dcterms:modified>
</cp:coreProperties>
</file>