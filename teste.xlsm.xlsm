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4266980666ca9c/Desktop/teste/"/>
    </mc:Choice>
  </mc:AlternateContent>
  <xr:revisionPtr revIDLastSave="18" documentId="8_{4A503327-0CCF-4549-9450-B82C6ADC6699}" xr6:coauthVersionLast="47" xr6:coauthVersionMax="47" xr10:uidLastSave="{C5054C54-EB2E-488B-8022-21399120AF41}"/>
  <bookViews>
    <workbookView xWindow="-108" yWindow="-108" windowWidth="23256" windowHeight="12456" xr2:uid="{A1A29DB2-A16B-464E-B312-ADBD26FEF17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33" i="1" l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33" i="1" s="1"/>
</calcChain>
</file>

<file path=xl/sharedStrings.xml><?xml version="1.0" encoding="utf-8"?>
<sst xmlns="http://schemas.openxmlformats.org/spreadsheetml/2006/main" count="82" uniqueCount="56">
  <si>
    <t>Data da Venda</t>
  </si>
  <si>
    <t>Vendedor</t>
  </si>
  <si>
    <t>Nº de Cotas</t>
  </si>
  <si>
    <t>Nº do Grupo</t>
  </si>
  <si>
    <t>Valor do Crédito</t>
  </si>
  <si>
    <t>% Comissão</t>
  </si>
  <si>
    <t>Nº da Parcela</t>
  </si>
  <si>
    <t>Data de vencimento</t>
  </si>
  <si>
    <t>Cliente</t>
  </si>
  <si>
    <t xml:space="preserve">boleto do mês/ situação </t>
  </si>
  <si>
    <t>4529-00</t>
  </si>
  <si>
    <t>NATALIM APARECIDO CORTEZ</t>
  </si>
  <si>
    <t>pago</t>
  </si>
  <si>
    <t>0824-00</t>
  </si>
  <si>
    <t xml:space="preserve">ANA CLARA DE OLIVEIRA </t>
  </si>
  <si>
    <t>cancelou</t>
  </si>
  <si>
    <t>0954-00</t>
  </si>
  <si>
    <t xml:space="preserve">ANA PAULA DIAS </t>
  </si>
  <si>
    <t>enviado</t>
  </si>
  <si>
    <t>1460-00</t>
  </si>
  <si>
    <t xml:space="preserve">CONSTR LRC </t>
  </si>
  <si>
    <t>não recebemos mais comissão pela venda</t>
  </si>
  <si>
    <t>0755-00</t>
  </si>
  <si>
    <t>ELAINE GONCALVES NUNES</t>
  </si>
  <si>
    <t>3716-00</t>
  </si>
  <si>
    <t xml:space="preserve">CRISTIANO ALVES MARQUES </t>
  </si>
  <si>
    <t>6797-00</t>
  </si>
  <si>
    <t>GLAUCIENE SANTOS COSTAS</t>
  </si>
  <si>
    <t>SIRLEI</t>
  </si>
  <si>
    <t>HUMBERTO CAMPONHOLO</t>
  </si>
  <si>
    <t>ROSE</t>
  </si>
  <si>
    <t>JORGE</t>
  </si>
  <si>
    <t>rose</t>
  </si>
  <si>
    <t>Fabricio</t>
  </si>
  <si>
    <t>joao jose</t>
  </si>
  <si>
    <t>MARIA JOSE</t>
  </si>
  <si>
    <t>MIKAELA</t>
  </si>
  <si>
    <t>Silvani</t>
  </si>
  <si>
    <t>atrasado</t>
  </si>
  <si>
    <t>OSIR</t>
  </si>
  <si>
    <t>Gean dos santos</t>
  </si>
  <si>
    <t>cr7</t>
  </si>
  <si>
    <t>thiago farias da silva - cr7</t>
  </si>
  <si>
    <t>dulce maria da silva - cr7</t>
  </si>
  <si>
    <t>Daniela costa</t>
  </si>
  <si>
    <t>luana do nascimento - CR7</t>
  </si>
  <si>
    <t>laiane</t>
  </si>
  <si>
    <t>joabi</t>
  </si>
  <si>
    <t>cancelou ( estorno de 1,5%)</t>
  </si>
  <si>
    <t>cleber - CR7</t>
  </si>
  <si>
    <t>thiago henrique - rose</t>
  </si>
  <si>
    <t>beatriz</t>
  </si>
  <si>
    <t>camila</t>
  </si>
  <si>
    <t>joenilson - cr7</t>
  </si>
  <si>
    <t xml:space="preserve">TOTAL </t>
  </si>
  <si>
    <t>Valor da Comissão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</si>
</sst>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14" fontId="0" fillId="3" borderId="1" xfId="0" applyNumberForma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44" fontId="0" fillId="3" borderId="1" xfId="1" applyFont="1" applyFill="1" applyBorder="1" applyAlignment="1">
      <alignment vertical="center" wrapText="1"/>
    </xf>
    <xf numFmtId="10" fontId="0" fillId="3" borderId="1" xfId="0" applyNumberFormat="1" applyFill="1" applyBorder="1"/>
    <xf numFmtId="44" fontId="0" fillId="3" borderId="1" xfId="0" applyNumberFormat="1" applyFill="1" applyBorder="1"/>
    <xf numFmtId="0" fontId="0" fillId="3" borderId="1" xfId="0" applyFill="1" applyBorder="1" applyAlignment="1">
      <alignment vertical="top" wrapText="1"/>
    </xf>
    <xf numFmtId="0" fontId="0" fillId="4" borderId="0" xfId="0" applyFill="1"/>
    <xf numFmtId="14" fontId="0" fillId="5" borderId="1" xfId="0" applyNumberFormat="1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8" fontId="0" fillId="5" borderId="1" xfId="0" applyNumberFormat="1" applyFill="1" applyBorder="1" applyAlignment="1">
      <alignment vertical="center" wrapText="1"/>
    </xf>
    <xf numFmtId="10" fontId="0" fillId="5" borderId="1" xfId="0" applyNumberFormat="1" applyFill="1" applyBorder="1"/>
    <xf numFmtId="44" fontId="0" fillId="5" borderId="1" xfId="0" applyNumberFormat="1" applyFill="1" applyBorder="1"/>
    <xf numFmtId="0" fontId="0" fillId="5" borderId="1" xfId="0" applyFill="1" applyBorder="1" applyAlignment="1">
      <alignment vertical="top" wrapText="1"/>
    </xf>
    <xf numFmtId="0" fontId="0" fillId="5" borderId="0" xfId="0" applyFill="1"/>
    <xf numFmtId="8" fontId="0" fillId="3" borderId="1" xfId="0" applyNumberFormat="1" applyFill="1" applyBorder="1" applyAlignment="1">
      <alignment vertical="center" wrapText="1"/>
    </xf>
    <xf numFmtId="14" fontId="0" fillId="4" borderId="1" xfId="0" applyNumberForma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8" fontId="0" fillId="4" borderId="1" xfId="0" applyNumberFormat="1" applyFill="1" applyBorder="1" applyAlignment="1">
      <alignment vertical="center" wrapText="1"/>
    </xf>
    <xf numFmtId="10" fontId="0" fillId="4" borderId="1" xfId="0" applyNumberFormat="1" applyFill="1" applyBorder="1"/>
    <xf numFmtId="44" fontId="0" fillId="4" borderId="1" xfId="0" applyNumberFormat="1" applyFill="1" applyBorder="1"/>
    <xf numFmtId="0" fontId="0" fillId="4" borderId="1" xfId="0" applyFill="1" applyBorder="1" applyAlignment="1">
      <alignment vertical="top" wrapText="1"/>
    </xf>
    <xf numFmtId="14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44" fontId="0" fillId="0" borderId="1" xfId="0" applyNumberFormat="1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31722-C4B0-4108-AE04-77C009D37F3F}">
  <dimension ref="C4:N33"/>
  <sheetViews>
    <sheetView tabSelected="1" workbookViewId="0">
      <selection activeCell="M23" sqref="M23"/>
    </sheetView>
  </sheetViews>
  <sheetFormatPr defaultRowHeight="14.4" x14ac:dyDescent="0.3"/>
  <cols>
    <col min="4" max="4" width="10.33203125" bestFit="1" customWidth="1"/>
    <col min="5" max="5" width="9" customWidth="1"/>
    <col min="7" max="7" width="8.77734375" customWidth="1"/>
    <col min="8" max="8" width="14.88671875" bestFit="1" customWidth="1"/>
    <col min="9" max="9" width="9.109375" customWidth="1"/>
    <col min="10" max="10" width="13.33203125" bestFit="1" customWidth="1"/>
    <col min="11" max="11" width="9.21875" customWidth="1"/>
    <col min="12" max="12" width="8.109375" bestFit="1" customWidth="1"/>
    <col min="13" max="13" width="34.33203125" customWidth="1"/>
    <col min="14" max="14" width="35.33203125" bestFit="1" customWidth="1"/>
  </cols>
  <sheetData>
    <row r="4" spans="3:14" ht="43.2" x14ac:dyDescent="0.3">
      <c r="D4" s="1" t="s">
        <v>0</v>
      </c>
      <c r="E4" s="1" t="s">
        <v>1</v>
      </c>
      <c r="F4" s="1" t="s">
        <v>2</v>
      </c>
      <c r="G4" s="1" t="s">
        <v>3</v>
      </c>
      <c r="H4" s="1" t="s">
        <v>4</v>
      </c>
      <c r="I4" s="1" t="s">
        <v>5</v>
      </c>
      <c r="J4" s="1" t="s">
        <v>55</v>
      </c>
      <c r="K4" s="1" t="s">
        <v>6</v>
      </c>
      <c r="L4" s="1" t="s">
        <v>7</v>
      </c>
      <c r="M4" s="1" t="s">
        <v>8</v>
      </c>
      <c r="N4" s="1" t="s">
        <v>9</v>
      </c>
    </row>
    <row r="5" spans="3:14" ht="57.6" x14ac:dyDescent="0.3">
      <c r="D5" s="2">
        <v>45835</v>
      </c>
      <c r="E5" s="3"/>
      <c r="F5" s="3">
        <v>3322</v>
      </c>
      <c r="G5" s="3" t="s">
        <v>10</v>
      </c>
      <c r="H5" s="4">
        <v>100000</v>
      </c>
      <c r="I5" s="5">
        <v>5.6000000000000001E-2</v>
      </c>
      <c r="J5" s="6">
        <f>H5*I5</f>
        <v>5600</v>
      </c>
      <c r="K5" s="3">
        <v>7</v>
      </c>
      <c r="L5" s="2"/>
      <c r="M5" s="7" t="s">
        <v>11</v>
      </c>
      <c r="N5" s="8" t="s">
        <v>12</v>
      </c>
    </row>
    <row r="6" spans="3:14" ht="57.6" x14ac:dyDescent="0.3">
      <c r="D6" s="9">
        <v>45827</v>
      </c>
      <c r="E6" s="10"/>
      <c r="F6" s="10">
        <v>3321</v>
      </c>
      <c r="G6" s="10" t="s">
        <v>13</v>
      </c>
      <c r="H6" s="11">
        <v>44000</v>
      </c>
      <c r="I6" s="12">
        <v>5.6000000000000001E-2</v>
      </c>
      <c r="J6" s="13">
        <f t="shared" ref="J6:J32" si="0">H6*I6</f>
        <v>2464</v>
      </c>
      <c r="K6" s="10">
        <v>4</v>
      </c>
      <c r="L6" s="9"/>
      <c r="M6" s="14" t="s">
        <v>14</v>
      </c>
      <c r="N6" t="s">
        <v>15</v>
      </c>
    </row>
    <row r="7" spans="3:14" ht="43.2" x14ac:dyDescent="0.3">
      <c r="C7" s="15"/>
      <c r="D7" s="2">
        <v>45818</v>
      </c>
      <c r="E7" s="3"/>
      <c r="F7" s="3">
        <v>3322</v>
      </c>
      <c r="G7" s="3" t="s">
        <v>16</v>
      </c>
      <c r="H7" s="16">
        <v>90000</v>
      </c>
      <c r="I7" s="5">
        <v>5.6000000000000001E-2</v>
      </c>
      <c r="J7" s="6">
        <f t="shared" si="0"/>
        <v>5040</v>
      </c>
      <c r="K7" s="3">
        <v>7</v>
      </c>
      <c r="L7" s="2"/>
      <c r="M7" s="7" t="s">
        <v>17</v>
      </c>
      <c r="N7" s="8" t="s">
        <v>18</v>
      </c>
    </row>
    <row r="8" spans="3:14" ht="28.8" x14ac:dyDescent="0.3">
      <c r="C8" s="15"/>
      <c r="D8" s="2">
        <v>45806</v>
      </c>
      <c r="E8" s="3"/>
      <c r="F8" s="3">
        <v>3322</v>
      </c>
      <c r="G8" s="3" t="s">
        <v>19</v>
      </c>
      <c r="H8" s="16">
        <v>100000</v>
      </c>
      <c r="I8" s="5">
        <v>5.6000000000000001E-2</v>
      </c>
      <c r="J8" s="6">
        <f t="shared" si="0"/>
        <v>5600</v>
      </c>
      <c r="K8" s="3">
        <v>7</v>
      </c>
      <c r="L8" s="2"/>
      <c r="M8" s="7" t="s">
        <v>20</v>
      </c>
      <c r="N8" s="8" t="s">
        <v>21</v>
      </c>
    </row>
    <row r="9" spans="3:14" ht="57.6" x14ac:dyDescent="0.3">
      <c r="C9" s="15"/>
      <c r="D9" s="2">
        <v>45798</v>
      </c>
      <c r="E9" s="3"/>
      <c r="F9" s="3">
        <v>3295</v>
      </c>
      <c r="G9" s="3" t="s">
        <v>22</v>
      </c>
      <c r="H9" s="16">
        <v>70000</v>
      </c>
      <c r="I9" s="5">
        <v>5.6000000000000001E-2</v>
      </c>
      <c r="J9" s="6">
        <f t="shared" si="0"/>
        <v>3920</v>
      </c>
      <c r="K9" s="3">
        <v>7</v>
      </c>
      <c r="L9" s="2"/>
      <c r="M9" s="7" t="s">
        <v>23</v>
      </c>
      <c r="N9" s="8" t="s">
        <v>21</v>
      </c>
    </row>
    <row r="10" spans="3:14" ht="57.6" x14ac:dyDescent="0.3">
      <c r="D10" s="2">
        <v>45866</v>
      </c>
      <c r="E10" s="3"/>
      <c r="F10" s="3">
        <v>3322</v>
      </c>
      <c r="G10" s="3" t="s">
        <v>24</v>
      </c>
      <c r="H10" s="16">
        <v>100000</v>
      </c>
      <c r="I10" s="5">
        <v>5.6000000000000001E-2</v>
      </c>
      <c r="J10" s="6">
        <f t="shared" si="0"/>
        <v>5600</v>
      </c>
      <c r="K10" s="3">
        <v>7</v>
      </c>
      <c r="L10" s="2"/>
      <c r="M10" s="7" t="s">
        <v>25</v>
      </c>
      <c r="N10" s="8" t="s">
        <v>21</v>
      </c>
    </row>
    <row r="11" spans="3:14" ht="57.6" x14ac:dyDescent="0.3">
      <c r="D11" s="2">
        <v>45861</v>
      </c>
      <c r="E11" s="3"/>
      <c r="F11" s="3">
        <v>3322</v>
      </c>
      <c r="G11" s="3" t="s">
        <v>26</v>
      </c>
      <c r="H11" s="16">
        <v>100000</v>
      </c>
      <c r="I11" s="5">
        <v>5.6000000000000001E-2</v>
      </c>
      <c r="J11" s="6">
        <f t="shared" si="0"/>
        <v>5600</v>
      </c>
      <c r="K11" s="3">
        <v>7</v>
      </c>
      <c r="L11" s="2"/>
      <c r="M11" s="7" t="s">
        <v>27</v>
      </c>
      <c r="N11" s="8" t="s">
        <v>21</v>
      </c>
    </row>
    <row r="12" spans="3:14" x14ac:dyDescent="0.3">
      <c r="C12">
        <v>1.1000000000000001</v>
      </c>
      <c r="D12" s="2">
        <v>45889</v>
      </c>
      <c r="E12" s="3"/>
      <c r="F12" s="3">
        <v>3322</v>
      </c>
      <c r="G12" s="3">
        <v>1864</v>
      </c>
      <c r="H12" s="16">
        <v>90000</v>
      </c>
      <c r="I12" s="5">
        <v>5.6000000000000001E-2</v>
      </c>
      <c r="J12" s="6">
        <f t="shared" si="0"/>
        <v>5040</v>
      </c>
      <c r="K12" s="3">
        <v>7</v>
      </c>
      <c r="L12" s="2"/>
      <c r="M12" s="7" t="s">
        <v>28</v>
      </c>
      <c r="N12" s="8" t="s">
        <v>21</v>
      </c>
    </row>
    <row r="13" spans="3:14" ht="57.6" x14ac:dyDescent="0.3">
      <c r="D13" s="2">
        <v>45884</v>
      </c>
      <c r="E13" s="3"/>
      <c r="F13" s="3">
        <v>1769</v>
      </c>
      <c r="G13" s="3">
        <v>3320</v>
      </c>
      <c r="H13" s="16">
        <v>120000</v>
      </c>
      <c r="I13" s="5">
        <v>5.6000000000000001E-2</v>
      </c>
      <c r="J13" s="6">
        <f t="shared" si="0"/>
        <v>6720</v>
      </c>
      <c r="K13" s="3">
        <v>7</v>
      </c>
      <c r="L13" s="2"/>
      <c r="M13" s="7" t="s">
        <v>29</v>
      </c>
      <c r="N13" s="8" t="s">
        <v>21</v>
      </c>
    </row>
    <row r="14" spans="3:14" x14ac:dyDescent="0.3">
      <c r="D14" s="2">
        <v>45930</v>
      </c>
      <c r="E14" s="3" t="s">
        <v>30</v>
      </c>
      <c r="F14" s="3">
        <v>726</v>
      </c>
      <c r="G14" s="3">
        <v>3326</v>
      </c>
      <c r="H14" s="16">
        <v>140000</v>
      </c>
      <c r="I14" s="5">
        <v>5.6000000000000001E-2</v>
      </c>
      <c r="J14" s="6">
        <f t="shared" si="0"/>
        <v>7840</v>
      </c>
      <c r="K14" s="3">
        <v>7</v>
      </c>
      <c r="L14" s="2"/>
      <c r="M14" s="7" t="s">
        <v>31</v>
      </c>
      <c r="N14" s="8" t="s">
        <v>21</v>
      </c>
    </row>
    <row r="15" spans="3:14" x14ac:dyDescent="0.3">
      <c r="D15" s="2">
        <v>45946</v>
      </c>
      <c r="E15" s="3" t="s">
        <v>32</v>
      </c>
      <c r="F15" s="3">
        <v>494</v>
      </c>
      <c r="G15" s="3">
        <v>3326</v>
      </c>
      <c r="H15" s="16">
        <v>100000</v>
      </c>
      <c r="I15" s="5">
        <v>5.6000000000000001E-2</v>
      </c>
      <c r="J15" s="6">
        <f t="shared" si="0"/>
        <v>5600</v>
      </c>
      <c r="K15" s="3">
        <v>7</v>
      </c>
      <c r="L15" s="2"/>
      <c r="M15" s="7" t="s">
        <v>33</v>
      </c>
      <c r="N15" s="8" t="s">
        <v>21</v>
      </c>
    </row>
    <row r="16" spans="3:14" x14ac:dyDescent="0.3">
      <c r="D16" s="2">
        <v>45960</v>
      </c>
      <c r="E16" s="3" t="s">
        <v>32</v>
      </c>
      <c r="F16" s="3">
        <v>3779</v>
      </c>
      <c r="G16" s="3">
        <v>3327</v>
      </c>
      <c r="H16" s="16">
        <v>140000</v>
      </c>
      <c r="I16" s="5">
        <v>5.6000000000000001E-2</v>
      </c>
      <c r="J16" s="6">
        <f t="shared" si="0"/>
        <v>7840</v>
      </c>
      <c r="K16" s="3">
        <v>7</v>
      </c>
      <c r="L16" s="2"/>
      <c r="M16" s="7" t="s">
        <v>34</v>
      </c>
      <c r="N16" s="8" t="s">
        <v>21</v>
      </c>
    </row>
    <row r="17" spans="4:14" ht="28.8" x14ac:dyDescent="0.3">
      <c r="D17" s="2">
        <v>45948</v>
      </c>
      <c r="E17" s="3"/>
      <c r="F17" s="3">
        <v>660</v>
      </c>
      <c r="G17" s="3">
        <v>3326</v>
      </c>
      <c r="H17" s="16">
        <v>100000</v>
      </c>
      <c r="I17" s="5">
        <v>5.6000000000000001E-2</v>
      </c>
      <c r="J17" s="6">
        <f t="shared" si="0"/>
        <v>5600</v>
      </c>
      <c r="K17" s="3">
        <v>7</v>
      </c>
      <c r="L17" s="2"/>
      <c r="M17" s="7" t="s">
        <v>35</v>
      </c>
      <c r="N17" s="8" t="s">
        <v>21</v>
      </c>
    </row>
    <row r="18" spans="4:14" x14ac:dyDescent="0.3">
      <c r="D18" s="9">
        <v>45910</v>
      </c>
      <c r="E18" s="10"/>
      <c r="F18" s="10">
        <v>3851</v>
      </c>
      <c r="G18" s="10"/>
      <c r="H18" s="11">
        <v>140000</v>
      </c>
      <c r="I18" s="12">
        <v>5.6000000000000001E-2</v>
      </c>
      <c r="J18" s="13">
        <f t="shared" si="0"/>
        <v>7840</v>
      </c>
      <c r="K18" s="10">
        <v>2</v>
      </c>
      <c r="L18" s="9"/>
      <c r="M18" s="14" t="s">
        <v>36</v>
      </c>
      <c r="N18" s="8" t="s">
        <v>15</v>
      </c>
    </row>
    <row r="19" spans="4:14" x14ac:dyDescent="0.3">
      <c r="D19" s="17">
        <v>46031</v>
      </c>
      <c r="E19" s="18"/>
      <c r="F19" s="18"/>
      <c r="G19" s="18"/>
      <c r="H19" s="19">
        <v>140000</v>
      </c>
      <c r="I19" s="20">
        <v>5.6000000000000001E-2</v>
      </c>
      <c r="J19" s="21">
        <f t="shared" si="0"/>
        <v>7840</v>
      </c>
      <c r="K19" s="18">
        <v>2</v>
      </c>
      <c r="L19" s="17"/>
      <c r="M19" s="22" t="s">
        <v>37</v>
      </c>
      <c r="N19" s="8" t="s">
        <v>38</v>
      </c>
    </row>
    <row r="20" spans="4:14" x14ac:dyDescent="0.3">
      <c r="D20" s="2">
        <v>45954</v>
      </c>
      <c r="E20" s="3"/>
      <c r="F20" s="3">
        <v>3326</v>
      </c>
      <c r="G20" s="3">
        <v>328</v>
      </c>
      <c r="H20" s="16">
        <v>90000</v>
      </c>
      <c r="I20" s="5">
        <v>5.6000000000000001E-2</v>
      </c>
      <c r="J20" s="6">
        <f t="shared" si="0"/>
        <v>5040</v>
      </c>
      <c r="K20" s="3">
        <v>7</v>
      </c>
      <c r="L20" s="2"/>
      <c r="M20" s="7" t="s">
        <v>39</v>
      </c>
      <c r="N20" s="8" t="s">
        <v>21</v>
      </c>
    </row>
    <row r="21" spans="4:14" ht="28.8" x14ac:dyDescent="0.3">
      <c r="D21" s="17">
        <v>46053</v>
      </c>
      <c r="E21" s="18"/>
      <c r="F21" s="18"/>
      <c r="G21" s="18"/>
      <c r="H21" s="19">
        <v>90000</v>
      </c>
      <c r="I21" s="20">
        <v>5.6000000000000001E-2</v>
      </c>
      <c r="J21" s="21">
        <f t="shared" si="0"/>
        <v>5040</v>
      </c>
      <c r="K21" s="18">
        <v>3</v>
      </c>
      <c r="L21" s="17"/>
      <c r="M21" s="22" t="s">
        <v>40</v>
      </c>
      <c r="N21" s="8" t="s">
        <v>12</v>
      </c>
    </row>
    <row r="22" spans="4:14" ht="43.2" x14ac:dyDescent="0.3">
      <c r="D22" s="17">
        <v>46048</v>
      </c>
      <c r="E22" s="18" t="s">
        <v>41</v>
      </c>
      <c r="F22" s="18"/>
      <c r="G22" s="18"/>
      <c r="H22" s="19">
        <v>120000</v>
      </c>
      <c r="I22" s="20">
        <v>5.6000000000000001E-2</v>
      </c>
      <c r="J22" s="21">
        <f t="shared" si="0"/>
        <v>6720</v>
      </c>
      <c r="K22" s="18">
        <v>3</v>
      </c>
      <c r="L22" s="17"/>
      <c r="M22" s="22" t="s">
        <v>42</v>
      </c>
      <c r="N22" s="8" t="s">
        <v>12</v>
      </c>
    </row>
    <row r="23" spans="4:14" ht="43.2" x14ac:dyDescent="0.3">
      <c r="D23" s="17">
        <v>46043</v>
      </c>
      <c r="E23" s="18" t="s">
        <v>41</v>
      </c>
      <c r="F23" s="18"/>
      <c r="G23" s="18"/>
      <c r="H23" s="19">
        <v>54000</v>
      </c>
      <c r="I23" s="20">
        <v>5.6000000000000001E-2</v>
      </c>
      <c r="J23" s="21">
        <f t="shared" si="0"/>
        <v>3024</v>
      </c>
      <c r="K23" s="18">
        <v>5</v>
      </c>
      <c r="L23" s="17"/>
      <c r="M23" s="22" t="s">
        <v>43</v>
      </c>
      <c r="N23" s="8" t="s">
        <v>12</v>
      </c>
    </row>
    <row r="24" spans="4:14" ht="28.8" x14ac:dyDescent="0.3">
      <c r="D24" s="17">
        <v>46059</v>
      </c>
      <c r="E24" s="18"/>
      <c r="F24" s="18"/>
      <c r="G24" s="18"/>
      <c r="H24" s="19">
        <v>90000</v>
      </c>
      <c r="I24" s="20">
        <v>5.6000000000000001E-2</v>
      </c>
      <c r="J24" s="21">
        <f t="shared" si="0"/>
        <v>5040</v>
      </c>
      <c r="K24" s="18">
        <v>3</v>
      </c>
      <c r="L24" s="17"/>
      <c r="M24" s="22" t="s">
        <v>44</v>
      </c>
      <c r="N24" s="8" t="s">
        <v>12</v>
      </c>
    </row>
    <row r="25" spans="4:14" ht="43.2" x14ac:dyDescent="0.3">
      <c r="D25" s="17">
        <v>46066</v>
      </c>
      <c r="E25" s="18" t="s">
        <v>41</v>
      </c>
      <c r="F25" s="18"/>
      <c r="G25" s="18"/>
      <c r="H25" s="19">
        <v>90000</v>
      </c>
      <c r="I25" s="20">
        <v>5.6000000000000001E-2</v>
      </c>
      <c r="J25" s="21">
        <f t="shared" si="0"/>
        <v>5040</v>
      </c>
      <c r="K25" s="18">
        <v>3</v>
      </c>
      <c r="L25" s="17"/>
      <c r="M25" s="22" t="s">
        <v>45</v>
      </c>
      <c r="N25" s="8" t="s">
        <v>12</v>
      </c>
    </row>
    <row r="26" spans="4:14" x14ac:dyDescent="0.3">
      <c r="D26" s="17">
        <v>46079</v>
      </c>
      <c r="E26" s="18"/>
      <c r="F26" s="18"/>
      <c r="G26" s="18"/>
      <c r="H26" s="19">
        <v>90000</v>
      </c>
      <c r="I26" s="20">
        <v>5.6000000000000001E-2</v>
      </c>
      <c r="J26" s="21">
        <f t="shared" si="0"/>
        <v>5040</v>
      </c>
      <c r="K26" s="18">
        <v>1</v>
      </c>
      <c r="L26" s="17"/>
      <c r="M26" s="22" t="s">
        <v>46</v>
      </c>
      <c r="N26" s="8" t="s">
        <v>12</v>
      </c>
    </row>
    <row r="27" spans="4:14" x14ac:dyDescent="0.3">
      <c r="D27" s="17">
        <v>46093</v>
      </c>
      <c r="E27" s="18"/>
      <c r="F27" s="18"/>
      <c r="G27" s="18"/>
      <c r="H27" s="19">
        <v>270000</v>
      </c>
      <c r="I27" s="20">
        <v>5.6000000000000001E-2</v>
      </c>
      <c r="J27" s="21">
        <f t="shared" si="0"/>
        <v>15120</v>
      </c>
      <c r="K27" s="18">
        <v>1</v>
      </c>
      <c r="L27" s="17"/>
      <c r="M27" s="22" t="s">
        <v>47</v>
      </c>
      <c r="N27" s="8" t="s">
        <v>48</v>
      </c>
    </row>
    <row r="28" spans="4:14" ht="28.8" x14ac:dyDescent="0.3">
      <c r="D28" s="17">
        <v>46101</v>
      </c>
      <c r="E28" s="18" t="s">
        <v>41</v>
      </c>
      <c r="F28" s="18"/>
      <c r="G28" s="18"/>
      <c r="H28" s="19">
        <v>230000</v>
      </c>
      <c r="I28" s="20">
        <v>5.6000000000000001E-2</v>
      </c>
      <c r="J28" s="21">
        <f t="shared" si="0"/>
        <v>12880</v>
      </c>
      <c r="K28" s="18">
        <v>1</v>
      </c>
      <c r="L28" s="17"/>
      <c r="M28" s="22" t="s">
        <v>49</v>
      </c>
      <c r="N28" s="8" t="s">
        <v>12</v>
      </c>
    </row>
    <row r="29" spans="4:14" ht="43.2" x14ac:dyDescent="0.3">
      <c r="D29" s="17">
        <v>46104</v>
      </c>
      <c r="E29" s="18"/>
      <c r="F29" s="18"/>
      <c r="G29" s="18"/>
      <c r="H29" s="19">
        <v>90000</v>
      </c>
      <c r="I29" s="20">
        <v>5.6000000000000001E-2</v>
      </c>
      <c r="J29" s="21">
        <f t="shared" si="0"/>
        <v>5040</v>
      </c>
      <c r="K29" s="18">
        <v>1</v>
      </c>
      <c r="L29" s="17"/>
      <c r="M29" s="22" t="s">
        <v>50</v>
      </c>
      <c r="N29" s="8" t="s">
        <v>12</v>
      </c>
    </row>
    <row r="30" spans="4:14" x14ac:dyDescent="0.3">
      <c r="D30" s="17">
        <v>46154</v>
      </c>
      <c r="E30" s="18"/>
      <c r="F30" s="18"/>
      <c r="G30" s="18"/>
      <c r="H30" s="19">
        <v>200000</v>
      </c>
      <c r="I30" s="20">
        <v>5.6000000000000001E-2</v>
      </c>
      <c r="J30" s="21">
        <f t="shared" si="0"/>
        <v>11200</v>
      </c>
      <c r="K30" s="18">
        <v>2</v>
      </c>
      <c r="L30" s="17"/>
      <c r="M30" s="22" t="s">
        <v>51</v>
      </c>
      <c r="N30" s="8" t="s">
        <v>12</v>
      </c>
    </row>
    <row r="31" spans="4:14" x14ac:dyDescent="0.3">
      <c r="D31" s="17">
        <v>46153</v>
      </c>
      <c r="E31" s="18"/>
      <c r="F31" s="18"/>
      <c r="G31" s="18"/>
      <c r="H31" s="19">
        <v>59000</v>
      </c>
      <c r="I31" s="20">
        <v>5.6000000000000001E-2</v>
      </c>
      <c r="J31" s="21">
        <f t="shared" si="0"/>
        <v>3304</v>
      </c>
      <c r="K31" s="18">
        <v>2</v>
      </c>
      <c r="L31" s="17"/>
      <c r="M31" s="22" t="s">
        <v>52</v>
      </c>
      <c r="N31" s="8" t="s">
        <v>12</v>
      </c>
    </row>
    <row r="32" spans="4:14" ht="28.8" x14ac:dyDescent="0.3">
      <c r="D32" s="17">
        <v>46161</v>
      </c>
      <c r="E32" s="18"/>
      <c r="F32" s="18"/>
      <c r="G32" s="18"/>
      <c r="H32" s="19">
        <v>140000</v>
      </c>
      <c r="I32" s="20">
        <v>5.6000000000000001E-2</v>
      </c>
      <c r="J32" s="21">
        <f t="shared" si="0"/>
        <v>7840</v>
      </c>
      <c r="K32" s="18">
        <v>1</v>
      </c>
      <c r="L32" s="17"/>
      <c r="M32" s="22" t="s">
        <v>53</v>
      </c>
      <c r="N32" s="8" t="s">
        <v>12</v>
      </c>
    </row>
    <row r="33" spans="4:13" x14ac:dyDescent="0.3">
      <c r="D33" s="23" t="s">
        <v>54</v>
      </c>
      <c r="E33" s="24"/>
      <c r="F33" s="24"/>
      <c r="G33" s="24"/>
      <c r="H33" s="25">
        <f>SUM(H5:H32)</f>
        <v>3187000</v>
      </c>
      <c r="I33" s="26"/>
      <c r="J33" s="25">
        <f>SUM(J5:J32)</f>
        <v>178472</v>
      </c>
      <c r="K33" s="24"/>
      <c r="L33" s="23"/>
      <c r="M33" s="2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vitor alves farias</dc:creator>
  <cp:lastModifiedBy>Joao vitor alves farias</cp:lastModifiedBy>
  <dcterms:created xsi:type="dcterms:W3CDTF">2026-05-29T15:43:15Z</dcterms:created>
  <dcterms:modified xsi:type="dcterms:W3CDTF">2026-05-29T16:47:55Z</dcterms:modified>
</cp:coreProperties>
</file>